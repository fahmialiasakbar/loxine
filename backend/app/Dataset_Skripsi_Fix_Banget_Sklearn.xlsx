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a Mentah" sheetId="1" state="visible" r:id="rId1"/>
    <sheet xmlns:r="http://schemas.openxmlformats.org/officeDocument/2006/relationships" name="2. Preprocessing" sheetId="2" state="visible" r:id="rId2"/>
    <sheet xmlns:r="http://schemas.openxmlformats.org/officeDocument/2006/relationships" name="3. Term Frequency (TF)" sheetId="3" state="visible" r:id="rId3"/>
    <sheet xmlns:r="http://schemas.openxmlformats.org/officeDocument/2006/relationships" name="4. TF-IDF" sheetId="4" state="visible" r:id="rId4"/>
    <sheet xmlns:r="http://schemas.openxmlformats.org/officeDocument/2006/relationships" name="5. Hasil Kemirip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2" max="2"/>
    <col width="90" customWidth="1" min="3" max="3"/>
  </cols>
  <sheetData>
    <row r="1">
      <c r="A1" s="1" t="inlineStr">
        <is>
          <t>Data Lowongan &amp; Profil Pelamar</t>
        </is>
      </c>
    </row>
    <row r="3">
      <c r="A3" s="2" t="inlineStr">
        <is>
          <t>ID</t>
        </is>
      </c>
      <c r="B3" s="2" t="inlineStr">
        <is>
          <t>Kategori Posisi</t>
        </is>
      </c>
      <c r="C3" s="2" t="inlineStr">
        <is>
          <t>Teks Asli</t>
        </is>
      </c>
    </row>
    <row r="4">
      <c r="A4" s="3" t="inlineStr">
        <is>
          <t>L1</t>
        </is>
      </c>
      <c r="B4" s="4" t="inlineStr">
        <is>
          <t>Web Developer</t>
        </is>
      </c>
      <c r="C4" s="4" t="inlineStr">
        <is>
          <t>Dicari Web Developer yang menguasai pemrograman PHP, framework Laravel, database MySQL, dan pembuatan REST API.</t>
        </is>
      </c>
    </row>
    <row r="5">
      <c r="A5" s="3" t="inlineStr">
        <is>
          <t>L2</t>
        </is>
      </c>
      <c r="B5" s="4" t="inlineStr">
        <is>
          <t>Data Scientist</t>
        </is>
      </c>
      <c r="C5" s="4" t="inlineStr">
        <is>
          <t>Perusahaan membutuhkan Data Scientist ahli Python, SQL, algoritma Machine Learning, dan analisis statistik data.</t>
        </is>
      </c>
    </row>
    <row r="6">
      <c r="A6" s="3" t="inlineStr">
        <is>
          <t>L3</t>
        </is>
      </c>
      <c r="B6" s="4" t="inlineStr">
        <is>
          <t>UI/UX Designer</t>
        </is>
      </c>
      <c r="C6" s="4" t="inlineStr">
        <is>
          <t>Mencari UI/UX Designer untuk membuat prototyping, wireframing, riset pengguna, dan mahir menggunakan Figma.</t>
        </is>
      </c>
    </row>
    <row r="7">
      <c r="A7" s="3" t="inlineStr">
        <is>
          <t>L4</t>
        </is>
      </c>
      <c r="B7" s="4" t="inlineStr">
        <is>
          <t>Graphic Designer</t>
        </is>
      </c>
      <c r="C7" s="4" t="inlineStr">
        <is>
          <t>Dibutuhkan Graphic Designer kreatif yang menguasai Adobe Photoshop, Illustrator, desain kreatif, dan branding.</t>
        </is>
      </c>
    </row>
    <row r="8">
      <c r="A8" s="3" t="inlineStr">
        <is>
          <t>L5</t>
        </is>
      </c>
      <c r="B8" s="4" t="inlineStr">
        <is>
          <t>Akuntan Pajak</t>
        </is>
      </c>
      <c r="C8" s="4" t="inlineStr">
        <is>
          <t>Mencari Akuntan Pajak berpengalaman mengelola laporan keuangan, rekonsiliasi bank, pajak perusahaan, dan Microsoft Excel.</t>
        </is>
      </c>
    </row>
    <row r="9">
      <c r="A9" s="3" t="inlineStr">
        <is>
          <t>P1</t>
        </is>
      </c>
      <c r="B9" s="4" t="inlineStr">
        <is>
          <t>Budi Santoso</t>
        </is>
      </c>
      <c r="C9" s="4" t="inlineStr">
        <is>
          <t>Saya Web Developer berpengalaman menggunakan PHP, framework Laravel, database MySQL, dan terbiasa membuat REST API.</t>
        </is>
      </c>
    </row>
    <row r="10">
      <c r="A10" s="3" t="inlineStr">
        <is>
          <t>P2</t>
        </is>
      </c>
      <c r="B10" s="4" t="inlineStr">
        <is>
          <t>Andi Wijaya</t>
        </is>
      </c>
      <c r="C10" s="4" t="inlineStr">
        <is>
          <t>Fullstack developer yang menguasai pemrograman PHP dan MySQL, namun juga bisa menggunakan Adobe Photoshop untuk desain banner web.</t>
        </is>
      </c>
    </row>
    <row r="11">
      <c r="A11" s="3" t="inlineStr">
        <is>
          <t>P3</t>
        </is>
      </c>
      <c r="B11" s="4" t="inlineStr">
        <is>
          <t>Citra Dewi</t>
        </is>
      </c>
      <c r="C11" s="4" t="inlineStr">
        <is>
          <t>Lulusan Statistika yang fokus sebagai Data Scientist. Mahir Python, SQL, dan pemodelan Machine Learning untuk analisis data.</t>
        </is>
      </c>
    </row>
    <row r="12">
      <c r="A12" s="3" t="inlineStr">
        <is>
          <t>P4</t>
        </is>
      </c>
      <c r="B12" s="4" t="inlineStr">
        <is>
          <t>Deni Setiawan</t>
        </is>
      </c>
      <c r="C12" s="4" t="inlineStr">
        <is>
          <t>Data analyst yang terbiasa melakukan query dengan SQL dan database MySQL. Sedikit paham Python tapi belum belajar Machine Learning.</t>
        </is>
      </c>
    </row>
    <row r="13">
      <c r="A13" s="3" t="inlineStr">
        <is>
          <t>P5</t>
        </is>
      </c>
      <c r="B13" s="4" t="inlineStr">
        <is>
          <t>Eko Prasetyo</t>
        </is>
      </c>
      <c r="C13" s="4" t="inlineStr">
        <is>
          <t>UI/UX Designer spesialis produk digital. Sangat mahir menggunakan Figma untuk wireframing, prototyping, dan riset pengguna.</t>
        </is>
      </c>
    </row>
    <row r="14">
      <c r="A14" s="3" t="inlineStr">
        <is>
          <t>P6</t>
        </is>
      </c>
      <c r="B14" s="4" t="inlineStr">
        <is>
          <t>Fitriani</t>
        </is>
      </c>
      <c r="C14" s="4" t="inlineStr">
        <is>
          <t>Desainer serbabisa yang menguasai Figma untuk desain UI dan juga terbiasa menggunakan Adobe Illustrator untuk membuat aset grafis.</t>
        </is>
      </c>
    </row>
    <row r="15">
      <c r="A15" s="3" t="inlineStr">
        <is>
          <t>P7</t>
        </is>
      </c>
      <c r="B15" s="4" t="inlineStr">
        <is>
          <t>Gilang Ramadhan</t>
        </is>
      </c>
      <c r="C15" s="4" t="inlineStr">
        <is>
          <t>Graphic Designer kreatif dengan portofolio luas di bidang branding, mahir menggunakan Adobe Photoshop dan Illustrator.</t>
        </is>
      </c>
    </row>
    <row r="16">
      <c r="A16" s="3" t="inlineStr">
        <is>
          <t>P8</t>
        </is>
      </c>
      <c r="B16" s="4" t="inlineStr">
        <is>
          <t>Hendra Wijaya</t>
        </is>
      </c>
      <c r="C16" s="4" t="inlineStr">
        <is>
          <t>Akuntan senior yang ahli menyusun laporan keuangan perusahaan, audit internal, manajemen pajak, dan tingkat lanjut Microsoft Excel.</t>
        </is>
      </c>
    </row>
    <row r="17">
      <c r="A17" s="3" t="inlineStr">
        <is>
          <t>P9</t>
        </is>
      </c>
      <c r="B17" s="4" t="inlineStr">
        <is>
          <t>Ira Maya</t>
        </is>
      </c>
      <c r="C17" s="4" t="inlineStr">
        <is>
          <t>Finance staff yang terbiasa mengelola keuangan dan rekonsiliasi bank, mahir menggunakan Microsoft Excel namun belum paham pajak.</t>
        </is>
      </c>
    </row>
    <row r="18">
      <c r="A18" s="3" t="inlineStr">
        <is>
          <t>P10</t>
        </is>
      </c>
      <c r="B18" s="4" t="inlineStr">
        <is>
          <t>Joko Susilo</t>
        </is>
      </c>
      <c r="C18" s="4" t="inlineStr">
        <is>
          <t>Lulusan baru administrasi perkantoran yang menguasai Microsoft Excel untuk input data logistik, belum punya pengalaman akuntansi.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2" max="2"/>
    <col width="50" customWidth="1" min="3" max="3"/>
    <col width="50" customWidth="1" min="4" max="4"/>
  </cols>
  <sheetData>
    <row r="1">
      <c r="A1" s="1" t="inlineStr">
        <is>
          <t>Tahapan Text Preprocessing (Sastrawi Simulation)</t>
        </is>
      </c>
    </row>
    <row r="3">
      <c r="A3" s="2" t="inlineStr">
        <is>
          <t>ID</t>
        </is>
      </c>
      <c r="B3" s="2" t="inlineStr">
        <is>
          <t>1. Teks Asli</t>
        </is>
      </c>
      <c r="C3" s="2" t="inlineStr">
        <is>
          <t>2. Tokenization</t>
        </is>
      </c>
      <c r="D3" s="2" t="inlineStr">
        <is>
          <t>3. Stopword &amp; Stemming</t>
        </is>
      </c>
    </row>
    <row r="4">
      <c r="A4" s="3" t="inlineStr">
        <is>
          <t>L1</t>
        </is>
      </c>
      <c r="B4" s="4" t="inlineStr">
        <is>
          <t>Dicari Web Developer yang menguasai pemrograman PHP, framework Laravel, database MySQL, dan pembuatan REST API.</t>
        </is>
      </c>
      <c r="C4" s="4" t="inlineStr">
        <is>
          <t>dicari web developer yang menguasai pemrograman php framework laravel database mysql dan pembuatan rest api</t>
        </is>
      </c>
      <c r="D4" s="4" t="inlineStr">
        <is>
          <t>cari web developer kuasa program php framework laravel database mysql buat rest api</t>
        </is>
      </c>
    </row>
    <row r="5">
      <c r="A5" s="5" t="inlineStr">
        <is>
          <t>L2</t>
        </is>
      </c>
      <c r="B5" s="6" t="inlineStr">
        <is>
          <t>Perusahaan membutuhkan Data Scientist ahli Python, SQL, algoritma Machine Learning, dan analisis statistik data.</t>
        </is>
      </c>
      <c r="C5" s="6" t="inlineStr">
        <is>
          <t>perusahaan membutuhkan data scientist ahli python sql algoritma machine learning dan analisis statistik data</t>
        </is>
      </c>
      <c r="D5" s="6" t="inlineStr">
        <is>
          <t>perusahaan butuh data scientist ahli python sql algoritma machine learning analisis statistik data</t>
        </is>
      </c>
    </row>
    <row r="6">
      <c r="A6" s="3" t="inlineStr">
        <is>
          <t>L3</t>
        </is>
      </c>
      <c r="B6" s="4" t="inlineStr">
        <is>
          <t>Mencari UI/UX Designer untuk membuat prototyping, wireframing, riset pengguna, dan mahir menggunakan Figma.</t>
        </is>
      </c>
      <c r="C6" s="4" t="inlineStr">
        <is>
          <t>mencari ui ux designer untuk membuat prototyping wireframing riset pengguna dan mahir menggunakan figma</t>
        </is>
      </c>
      <c r="D6" s="4" t="inlineStr">
        <is>
          <t>cari ui ux designer buat prototyping wireframing riset guna mahir guna figma</t>
        </is>
      </c>
    </row>
    <row r="7">
      <c r="A7" s="5" t="inlineStr">
        <is>
          <t>L4</t>
        </is>
      </c>
      <c r="B7" s="6" t="inlineStr">
        <is>
          <t>Dibutuhkan Graphic Designer kreatif yang menguasai Adobe Photoshop, Illustrator, desain kreatif, dan branding.</t>
        </is>
      </c>
      <c r="C7" s="6" t="inlineStr">
        <is>
          <t>dibutuhkan graphic designer kreatif yang menguasai adobe photoshop illustrator desain kreatif dan branding</t>
        </is>
      </c>
      <c r="D7" s="6" t="inlineStr">
        <is>
          <t>butuh graphic designer kreatif kuasa adobe photoshop illustrator desain kreatif branding</t>
        </is>
      </c>
    </row>
    <row r="8">
      <c r="A8" s="3" t="inlineStr">
        <is>
          <t>L5</t>
        </is>
      </c>
      <c r="B8" s="4" t="inlineStr">
        <is>
          <t>Mencari Akuntan Pajak berpengalaman mengelola laporan keuangan, rekonsiliasi bank, pajak perusahaan, dan Microsoft Excel.</t>
        </is>
      </c>
      <c r="C8" s="4" t="inlineStr">
        <is>
          <t>mencari akuntan pajak berpengalaman mengelola laporan keuangan rekonsiliasi bank pajak perusahaan dan microsoft excel</t>
        </is>
      </c>
      <c r="D8" s="4" t="inlineStr">
        <is>
          <t>cari akuntan pajak alam kelola lapor uang rekonsiliasi bank pajak perusahaan microsoft excel</t>
        </is>
      </c>
    </row>
    <row r="9">
      <c r="A9" s="5" t="inlineStr">
        <is>
          <t>P1</t>
        </is>
      </c>
      <c r="B9" s="6" t="inlineStr">
        <is>
          <t>Saya Web Developer berpengalaman menggunakan PHP, framework Laravel, database MySQL, dan terbiasa membuat REST API.</t>
        </is>
      </c>
      <c r="C9" s="6" t="inlineStr">
        <is>
          <t>saya web developer berpengalaman menggunakan php framework laravel database mysql dan terbiasa membuat rest api</t>
        </is>
      </c>
      <c r="D9" s="6" t="inlineStr">
        <is>
          <t>web developer alam guna php framework laravel database mysql biasa buat rest api</t>
        </is>
      </c>
    </row>
    <row r="10">
      <c r="A10" s="3" t="inlineStr">
        <is>
          <t>P2</t>
        </is>
      </c>
      <c r="B10" s="4" t="inlineStr">
        <is>
          <t>Fullstack developer yang menguasai pemrograman PHP dan MySQL, namun juga bisa menggunakan Adobe Photoshop untuk desain banner web.</t>
        </is>
      </c>
      <c r="C10" s="4" t="inlineStr">
        <is>
          <t>fullstack developer yang menguasai pemrograman php dan mysql namun juga bisa menggunakan adobe photoshop untuk desain banner web</t>
        </is>
      </c>
      <c r="D10" s="4" t="inlineStr">
        <is>
          <t>fullstack developer kuasa program php mysql guna adobe photoshop desain banner web</t>
        </is>
      </c>
    </row>
    <row r="11">
      <c r="A11" s="5" t="inlineStr">
        <is>
          <t>P3</t>
        </is>
      </c>
      <c r="B11" s="6" t="inlineStr">
        <is>
          <t>Lulusan Statistika yang fokus sebagai Data Scientist. Mahir Python, SQL, dan pemodelan Machine Learning untuk analisis data.</t>
        </is>
      </c>
      <c r="C11" s="6" t="inlineStr">
        <is>
          <t>lulusan statistika yang fokus sebagai data scientist mahir python sql dan pemodelan machine learning untuk analisis data</t>
        </is>
      </c>
      <c r="D11" s="6" t="inlineStr">
        <is>
          <t>lulus statistika fokus data scientist mahir python sql model machine learning analisis data</t>
        </is>
      </c>
    </row>
    <row r="12">
      <c r="A12" s="3" t="inlineStr">
        <is>
          <t>P4</t>
        </is>
      </c>
      <c r="B12" s="4" t="inlineStr">
        <is>
          <t>Data analyst yang terbiasa melakukan query dengan SQL dan database MySQL. Sedikit paham Python tapi belum belajar Machine Learning.</t>
        </is>
      </c>
      <c r="C12" s="4" t="inlineStr">
        <is>
          <t>data analyst yang terbiasa melakukan query dengan sql dan database mysql sedikit paham python tapi belum belajar machine learning</t>
        </is>
      </c>
      <c r="D12" s="4" t="inlineStr">
        <is>
          <t>data analyst biasa laku query sql database mysql sedikit paham python ajar machine learning</t>
        </is>
      </c>
    </row>
    <row r="13">
      <c r="A13" s="5" t="inlineStr">
        <is>
          <t>P5</t>
        </is>
      </c>
      <c r="B13" s="6" t="inlineStr">
        <is>
          <t>UI/UX Designer spesialis produk digital. Sangat mahir menggunakan Figma untuk wireframing, prototyping, dan riset pengguna.</t>
        </is>
      </c>
      <c r="C13" s="6" t="inlineStr">
        <is>
          <t>ui ux designer spesialis produk digital sangat mahir menggunakan figma untuk wireframing prototyping dan riset pengguna</t>
        </is>
      </c>
      <c r="D13" s="6" t="inlineStr">
        <is>
          <t>ui ux designer spesialis produk digital sangat mahir guna figma wireframing prototyping riset guna</t>
        </is>
      </c>
    </row>
    <row r="14">
      <c r="A14" s="3" t="inlineStr">
        <is>
          <t>P6</t>
        </is>
      </c>
      <c r="B14" s="4" t="inlineStr">
        <is>
          <t>Desainer serbabisa yang menguasai Figma untuk desain UI dan juga terbiasa menggunakan Adobe Illustrator untuk membuat aset grafis.</t>
        </is>
      </c>
      <c r="C14" s="4" t="inlineStr">
        <is>
          <t>desainer serbabisa yang menguasai figma untuk desain ui dan juga terbiasa menggunakan adobe illustrator untuk membuat aset grafis</t>
        </is>
      </c>
      <c r="D14" s="4" t="inlineStr">
        <is>
          <t>desain serbabisa kuasa figma desain ui biasa guna adobe illustrator buat aset grafis</t>
        </is>
      </c>
    </row>
    <row r="15">
      <c r="A15" s="5" t="inlineStr">
        <is>
          <t>P7</t>
        </is>
      </c>
      <c r="B15" s="6" t="inlineStr">
        <is>
          <t>Graphic Designer kreatif dengan portofolio luas di bidang branding, mahir menggunakan Adobe Photoshop dan Illustrator.</t>
        </is>
      </c>
      <c r="C15" s="6" t="inlineStr">
        <is>
          <t>graphic designer kreatif dengan portofolio luas di bidang branding mahir menggunakan adobe photoshop dan illustrator</t>
        </is>
      </c>
      <c r="D15" s="6" t="inlineStr">
        <is>
          <t>graphic designer kreatif portofolio luas bidang branding mahir guna adobe photoshop illustrator</t>
        </is>
      </c>
    </row>
    <row r="16">
      <c r="A16" s="3" t="inlineStr">
        <is>
          <t>P8</t>
        </is>
      </c>
      <c r="B16" s="4" t="inlineStr">
        <is>
          <t>Akuntan senior yang ahli menyusun laporan keuangan perusahaan, audit internal, manajemen pajak, dan tingkat lanjut Microsoft Excel.</t>
        </is>
      </c>
      <c r="C16" s="4" t="inlineStr">
        <is>
          <t>akuntan senior yang ahli menyusun laporan keuangan perusahaan audit internal manajemen pajak dan tingkat lanjut microsoft excel</t>
        </is>
      </c>
      <c r="D16" s="4" t="inlineStr">
        <is>
          <t>akuntan senior ahli susun lapor uang perusahaan audit internal manajemen pajak tingkat lanjut microsoft excel</t>
        </is>
      </c>
    </row>
    <row r="17">
      <c r="A17" s="5" t="inlineStr">
        <is>
          <t>P9</t>
        </is>
      </c>
      <c r="B17" s="6" t="inlineStr">
        <is>
          <t>Finance staff yang terbiasa mengelola keuangan dan rekonsiliasi bank, mahir menggunakan Microsoft Excel namun belum paham pajak.</t>
        </is>
      </c>
      <c r="C17" s="6" t="inlineStr">
        <is>
          <t>finance staff yang terbiasa mengelola keuangan dan rekonsiliasi bank mahir menggunakan microsoft excel namun belum paham pajak</t>
        </is>
      </c>
      <c r="D17" s="6" t="inlineStr">
        <is>
          <t>finance staff biasa kelola uang rekonsiliasi bank mahir guna microsoft excel paham pajak</t>
        </is>
      </c>
    </row>
    <row r="18">
      <c r="A18" s="3" t="inlineStr">
        <is>
          <t>P10</t>
        </is>
      </c>
      <c r="B18" s="4" t="inlineStr">
        <is>
          <t>Lulusan baru administrasi perkantoran yang menguasai Microsoft Excel untuk input data logistik, belum punya pengalaman akuntansi.</t>
        </is>
      </c>
      <c r="C18" s="4" t="inlineStr">
        <is>
          <t>lulusan baru administrasi perkantoran yang menguasai microsoft excel untuk input data logistik belum punya pengalaman akuntansi</t>
        </is>
      </c>
      <c r="D18" s="4" t="inlineStr">
        <is>
          <t>lulus baru administrasi kantor kuasa microsoft excel input data logistik punya alam akuntansi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Matriks Jumlah Kata (Term Frequency)</t>
        </is>
      </c>
    </row>
    <row r="3">
      <c r="A3" s="2" t="inlineStr">
        <is>
          <t>Term</t>
        </is>
      </c>
      <c r="B3" s="2" t="inlineStr">
        <is>
          <t>DF (Doc Freq)</t>
        </is>
      </c>
      <c r="C3" s="2" t="inlineStr">
        <is>
          <t>L1</t>
        </is>
      </c>
      <c r="D3" s="2" t="inlineStr">
        <is>
          <t>L2</t>
        </is>
      </c>
      <c r="E3" s="2" t="inlineStr">
        <is>
          <t>L3</t>
        </is>
      </c>
      <c r="F3" s="2" t="inlineStr">
        <is>
          <t>L4</t>
        </is>
      </c>
      <c r="G3" s="2" t="inlineStr">
        <is>
          <t>L5</t>
        </is>
      </c>
      <c r="H3" s="2" t="inlineStr">
        <is>
          <t>P1</t>
        </is>
      </c>
      <c r="I3" s="2" t="inlineStr">
        <is>
          <t>P2</t>
        </is>
      </c>
      <c r="J3" s="2" t="inlineStr">
        <is>
          <t>P3</t>
        </is>
      </c>
      <c r="K3" s="2" t="inlineStr">
        <is>
          <t>P4</t>
        </is>
      </c>
      <c r="L3" s="2" t="inlineStr">
        <is>
          <t>P5</t>
        </is>
      </c>
      <c r="M3" s="2" t="inlineStr">
        <is>
          <t>P6</t>
        </is>
      </c>
      <c r="N3" s="2" t="inlineStr">
        <is>
          <t>P7</t>
        </is>
      </c>
      <c r="O3" s="2" t="inlineStr">
        <is>
          <t>P8</t>
        </is>
      </c>
      <c r="P3" s="2" t="inlineStr">
        <is>
          <t>P9</t>
        </is>
      </c>
      <c r="Q3" s="2" t="inlineStr">
        <is>
          <t>P10</t>
        </is>
      </c>
    </row>
    <row r="4">
      <c r="A4" s="7" t="inlineStr">
        <is>
          <t>administrasi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8" t="n">
        <v>1</v>
      </c>
    </row>
    <row r="5">
      <c r="A5" s="7" t="inlineStr">
        <is>
          <t>adobe</t>
        </is>
      </c>
      <c r="B5" s="3" t="n">
        <v>4</v>
      </c>
      <c r="C5" s="3" t="n">
        <v>0</v>
      </c>
      <c r="D5" s="3" t="n">
        <v>0</v>
      </c>
      <c r="E5" s="3" t="n">
        <v>0</v>
      </c>
      <c r="F5" s="8" t="n">
        <v>1</v>
      </c>
      <c r="G5" s="3" t="n">
        <v>0</v>
      </c>
      <c r="H5" s="3" t="n">
        <v>0</v>
      </c>
      <c r="I5" s="8" t="n">
        <v>1</v>
      </c>
      <c r="J5" s="3" t="n">
        <v>0</v>
      </c>
      <c r="K5" s="3" t="n">
        <v>0</v>
      </c>
      <c r="L5" s="3" t="n">
        <v>0</v>
      </c>
      <c r="M5" s="8" t="n">
        <v>1</v>
      </c>
      <c r="N5" s="8" t="n">
        <v>1</v>
      </c>
      <c r="O5" s="3" t="n">
        <v>0</v>
      </c>
      <c r="P5" s="3" t="n">
        <v>0</v>
      </c>
      <c r="Q5" s="3" t="n">
        <v>0</v>
      </c>
    </row>
    <row r="6">
      <c r="A6" s="7" t="inlineStr">
        <is>
          <t>ahli</t>
        </is>
      </c>
      <c r="B6" s="3" t="n">
        <v>2</v>
      </c>
      <c r="C6" s="3" t="n">
        <v>0</v>
      </c>
      <c r="D6" s="8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8" t="n">
        <v>1</v>
      </c>
      <c r="P6" s="3" t="n">
        <v>0</v>
      </c>
      <c r="Q6" s="3" t="n">
        <v>0</v>
      </c>
    </row>
    <row r="7">
      <c r="A7" s="7" t="inlineStr">
        <is>
          <t>ajar</t>
        </is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8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7" t="inlineStr">
        <is>
          <t>akuntan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0</v>
      </c>
      <c r="G8" s="8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8" t="n">
        <v>1</v>
      </c>
      <c r="P8" s="3" t="n">
        <v>0</v>
      </c>
      <c r="Q8" s="3" t="n">
        <v>0</v>
      </c>
    </row>
    <row r="9">
      <c r="A9" s="7" t="inlineStr">
        <is>
          <t>akuntansi</t>
        </is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8" t="n">
        <v>1</v>
      </c>
    </row>
    <row r="10">
      <c r="A10" s="7" t="inlineStr">
        <is>
          <t>alam</t>
        </is>
      </c>
      <c r="B10" s="3" t="n">
        <v>3</v>
      </c>
      <c r="C10" s="3" t="n">
        <v>0</v>
      </c>
      <c r="D10" s="3" t="n">
        <v>0</v>
      </c>
      <c r="E10" s="3" t="n">
        <v>0</v>
      </c>
      <c r="F10" s="3" t="n">
        <v>0</v>
      </c>
      <c r="G10" s="8" t="n">
        <v>1</v>
      </c>
      <c r="H10" s="8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8" t="n">
        <v>1</v>
      </c>
    </row>
    <row r="11">
      <c r="A11" s="7" t="inlineStr">
        <is>
          <t>algoritma</t>
        </is>
      </c>
      <c r="B11" s="3" t="n">
        <v>1</v>
      </c>
      <c r="C11" s="3" t="n">
        <v>0</v>
      </c>
      <c r="D11" s="8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7" t="inlineStr">
        <is>
          <t>analisis</t>
        </is>
      </c>
      <c r="B12" s="3" t="n">
        <v>2</v>
      </c>
      <c r="C12" s="3" t="n">
        <v>0</v>
      </c>
      <c r="D12" s="8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8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7" t="inlineStr">
        <is>
          <t>analyst</t>
        </is>
      </c>
      <c r="B13" s="3" t="n">
        <v>1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8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7" t="inlineStr">
        <is>
          <t>api</t>
        </is>
      </c>
      <c r="B14" s="3" t="n">
        <v>2</v>
      </c>
      <c r="C14" s="8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8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7" t="inlineStr">
        <is>
          <t>aset</t>
        </is>
      </c>
      <c r="B15" s="3" t="n">
        <v>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8" t="n">
        <v>1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7" t="inlineStr">
        <is>
          <t>audit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8" t="n">
        <v>1</v>
      </c>
      <c r="P16" s="3" t="n">
        <v>0</v>
      </c>
      <c r="Q16" s="3" t="n">
        <v>0</v>
      </c>
    </row>
    <row r="17">
      <c r="A17" s="7" t="inlineStr">
        <is>
          <t>bank</t>
        </is>
      </c>
      <c r="B17" s="3" t="n">
        <v>2</v>
      </c>
      <c r="C17" s="3" t="n">
        <v>0</v>
      </c>
      <c r="D17" s="3" t="n">
        <v>0</v>
      </c>
      <c r="E17" s="3" t="n">
        <v>0</v>
      </c>
      <c r="F17" s="3" t="n">
        <v>0</v>
      </c>
      <c r="G17" s="8" t="n">
        <v>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8" t="n">
        <v>1</v>
      </c>
      <c r="Q17" s="3" t="n">
        <v>0</v>
      </c>
    </row>
    <row r="18">
      <c r="A18" s="7" t="inlineStr">
        <is>
          <t>banner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8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A19" s="7" t="inlineStr">
        <is>
          <t>baru</t>
        </is>
      </c>
      <c r="B19" s="3" t="n">
        <v>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8" t="n">
        <v>1</v>
      </c>
    </row>
    <row r="20">
      <c r="A20" s="7" t="inlineStr">
        <is>
          <t>biasa</t>
        </is>
      </c>
      <c r="B20" s="3" t="n">
        <v>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8" t="n">
        <v>1</v>
      </c>
      <c r="I20" s="3" t="n">
        <v>0</v>
      </c>
      <c r="J20" s="3" t="n">
        <v>0</v>
      </c>
      <c r="K20" s="8" t="n">
        <v>1</v>
      </c>
      <c r="L20" s="3" t="n">
        <v>0</v>
      </c>
      <c r="M20" s="8" t="n">
        <v>1</v>
      </c>
      <c r="N20" s="3" t="n">
        <v>0</v>
      </c>
      <c r="O20" s="3" t="n">
        <v>0</v>
      </c>
      <c r="P20" s="8" t="n">
        <v>1</v>
      </c>
      <c r="Q20" s="3" t="n">
        <v>0</v>
      </c>
    </row>
    <row r="21">
      <c r="A21" s="7" t="inlineStr">
        <is>
          <t>bidang</t>
        </is>
      </c>
      <c r="B21" s="3" t="n">
        <v>1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8" t="n">
        <v>1</v>
      </c>
      <c r="O21" s="3" t="n">
        <v>0</v>
      </c>
      <c r="P21" s="3" t="n">
        <v>0</v>
      </c>
      <c r="Q21" s="3" t="n">
        <v>0</v>
      </c>
    </row>
    <row r="22">
      <c r="A22" s="7" t="inlineStr">
        <is>
          <t>branding</t>
        </is>
      </c>
      <c r="B22" s="3" t="n">
        <v>2</v>
      </c>
      <c r="C22" s="3" t="n">
        <v>0</v>
      </c>
      <c r="D22" s="3" t="n">
        <v>0</v>
      </c>
      <c r="E22" s="3" t="n">
        <v>0</v>
      </c>
      <c r="F22" s="8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8" t="n">
        <v>1</v>
      </c>
      <c r="O22" s="3" t="n">
        <v>0</v>
      </c>
      <c r="P22" s="3" t="n">
        <v>0</v>
      </c>
      <c r="Q22" s="3" t="n">
        <v>0</v>
      </c>
    </row>
    <row r="23">
      <c r="A23" s="7" t="inlineStr">
        <is>
          <t>buat</t>
        </is>
      </c>
      <c r="B23" s="3" t="n">
        <v>4</v>
      </c>
      <c r="C23" s="8" t="n">
        <v>1</v>
      </c>
      <c r="D23" s="3" t="n">
        <v>0</v>
      </c>
      <c r="E23" s="8" t="n">
        <v>1</v>
      </c>
      <c r="F23" s="3" t="n">
        <v>0</v>
      </c>
      <c r="G23" s="3" t="n">
        <v>0</v>
      </c>
      <c r="H23" s="8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8" t="n">
        <v>1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A24" s="7" t="inlineStr">
        <is>
          <t>butuh</t>
        </is>
      </c>
      <c r="B24" s="3" t="n">
        <v>2</v>
      </c>
      <c r="C24" s="3" t="n">
        <v>0</v>
      </c>
      <c r="D24" s="8" t="n">
        <v>1</v>
      </c>
      <c r="E24" s="3" t="n">
        <v>0</v>
      </c>
      <c r="F24" s="8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</row>
    <row r="25">
      <c r="A25" s="7" t="inlineStr">
        <is>
          <t>cari</t>
        </is>
      </c>
      <c r="B25" s="3" t="n">
        <v>3</v>
      </c>
      <c r="C25" s="8" t="n">
        <v>1</v>
      </c>
      <c r="D25" s="3" t="n">
        <v>0</v>
      </c>
      <c r="E25" s="8" t="n">
        <v>1</v>
      </c>
      <c r="F25" s="3" t="n">
        <v>0</v>
      </c>
      <c r="G25" s="8" t="n">
        <v>1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A26" s="7" t="inlineStr">
        <is>
          <t>data</t>
        </is>
      </c>
      <c r="B26" s="3" t="n">
        <v>4</v>
      </c>
      <c r="C26" s="3" t="n">
        <v>0</v>
      </c>
      <c r="D26" s="8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8" t="n">
        <v>2</v>
      </c>
      <c r="K26" s="8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8" t="n">
        <v>1</v>
      </c>
    </row>
    <row r="27">
      <c r="A27" s="7" t="inlineStr">
        <is>
          <t>database</t>
        </is>
      </c>
      <c r="B27" s="3" t="n">
        <v>3</v>
      </c>
      <c r="C27" s="8" t="n">
        <v>1</v>
      </c>
      <c r="D27" s="3" t="n">
        <v>0</v>
      </c>
      <c r="E27" s="3" t="n">
        <v>0</v>
      </c>
      <c r="F27" s="3" t="n">
        <v>0</v>
      </c>
      <c r="G27" s="3" t="n">
        <v>0</v>
      </c>
      <c r="H27" s="8" t="n">
        <v>1</v>
      </c>
      <c r="I27" s="3" t="n">
        <v>0</v>
      </c>
      <c r="J27" s="3" t="n">
        <v>0</v>
      </c>
      <c r="K27" s="8" t="n">
        <v>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A28" s="7" t="inlineStr">
        <is>
          <t>desain</t>
        </is>
      </c>
      <c r="B28" s="3" t="n">
        <v>3</v>
      </c>
      <c r="C28" s="3" t="n">
        <v>0</v>
      </c>
      <c r="D28" s="3" t="n">
        <v>0</v>
      </c>
      <c r="E28" s="3" t="n">
        <v>0</v>
      </c>
      <c r="F28" s="8" t="n">
        <v>1</v>
      </c>
      <c r="G28" s="3" t="n">
        <v>0</v>
      </c>
      <c r="H28" s="3" t="n">
        <v>0</v>
      </c>
      <c r="I28" s="8" t="n">
        <v>1</v>
      </c>
      <c r="J28" s="3" t="n">
        <v>0</v>
      </c>
      <c r="K28" s="3" t="n">
        <v>0</v>
      </c>
      <c r="L28" s="3" t="n">
        <v>0</v>
      </c>
      <c r="M28" s="8" t="n">
        <v>2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7" t="inlineStr">
        <is>
          <t>designer</t>
        </is>
      </c>
      <c r="B29" s="3" t="n">
        <v>4</v>
      </c>
      <c r="C29" s="3" t="n">
        <v>0</v>
      </c>
      <c r="D29" s="3" t="n">
        <v>0</v>
      </c>
      <c r="E29" s="8" t="n">
        <v>1</v>
      </c>
      <c r="F29" s="8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8" t="n">
        <v>1</v>
      </c>
      <c r="M29" s="3" t="n">
        <v>0</v>
      </c>
      <c r="N29" s="8" t="n">
        <v>1</v>
      </c>
      <c r="O29" s="3" t="n">
        <v>0</v>
      </c>
      <c r="P29" s="3" t="n">
        <v>0</v>
      </c>
      <c r="Q29" s="3" t="n">
        <v>0</v>
      </c>
    </row>
    <row r="30">
      <c r="A30" s="7" t="inlineStr">
        <is>
          <t>developer</t>
        </is>
      </c>
      <c r="B30" s="3" t="n">
        <v>3</v>
      </c>
      <c r="C30" s="8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8" t="n">
        <v>1</v>
      </c>
      <c r="I30" s="8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</row>
    <row r="31">
      <c r="A31" s="7" t="inlineStr">
        <is>
          <t>digital</t>
        </is>
      </c>
      <c r="B31" s="3" t="n">
        <v>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8" t="n">
        <v>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7" t="inlineStr">
        <is>
          <t>excel</t>
        </is>
      </c>
      <c r="B32" s="3" t="n">
        <v>4</v>
      </c>
      <c r="C32" s="3" t="n">
        <v>0</v>
      </c>
      <c r="D32" s="3" t="n">
        <v>0</v>
      </c>
      <c r="E32" s="3" t="n">
        <v>0</v>
      </c>
      <c r="F32" s="3" t="n">
        <v>0</v>
      </c>
      <c r="G32" s="8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8" t="n">
        <v>1</v>
      </c>
      <c r="P32" s="8" t="n">
        <v>1</v>
      </c>
      <c r="Q32" s="8" t="n">
        <v>1</v>
      </c>
    </row>
    <row r="33">
      <c r="A33" s="7" t="inlineStr">
        <is>
          <t>figma</t>
        </is>
      </c>
      <c r="B33" s="3" t="n">
        <v>3</v>
      </c>
      <c r="C33" s="3" t="n">
        <v>0</v>
      </c>
      <c r="D33" s="3" t="n">
        <v>0</v>
      </c>
      <c r="E33" s="8" t="n">
        <v>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8" t="n">
        <v>1</v>
      </c>
      <c r="M33" s="8" t="n">
        <v>1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A34" s="7" t="inlineStr">
        <is>
          <t>finance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8" t="n">
        <v>1</v>
      </c>
      <c r="Q34" s="3" t="n">
        <v>0</v>
      </c>
    </row>
    <row r="35">
      <c r="A35" s="7" t="inlineStr">
        <is>
          <t>fokus</t>
        </is>
      </c>
      <c r="B35" s="3" t="n">
        <v>1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8" t="n">
        <v>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7" t="inlineStr">
        <is>
          <t>framework</t>
        </is>
      </c>
      <c r="B36" s="3" t="n">
        <v>2</v>
      </c>
      <c r="C36" s="8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8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7" t="inlineStr">
        <is>
          <t>fullstack</t>
        </is>
      </c>
      <c r="B37" s="3" t="n">
        <v>1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8" t="n">
        <v>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7" t="inlineStr">
        <is>
          <t>grafis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8" t="n">
        <v>1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7" t="inlineStr">
        <is>
          <t>graphic</t>
        </is>
      </c>
      <c r="B39" s="3" t="n">
        <v>2</v>
      </c>
      <c r="C39" s="3" t="n">
        <v>0</v>
      </c>
      <c r="D39" s="3" t="n">
        <v>0</v>
      </c>
      <c r="E39" s="3" t="n">
        <v>0</v>
      </c>
      <c r="F39" s="8" t="n">
        <v>1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8" t="n">
        <v>1</v>
      </c>
      <c r="O39" s="3" t="n">
        <v>0</v>
      </c>
      <c r="P39" s="3" t="n">
        <v>0</v>
      </c>
      <c r="Q39" s="3" t="n">
        <v>0</v>
      </c>
    </row>
    <row r="40">
      <c r="A40" s="7" t="inlineStr">
        <is>
          <t>guna</t>
        </is>
      </c>
      <c r="B40" s="3" t="n">
        <v>7</v>
      </c>
      <c r="C40" s="3" t="n">
        <v>0</v>
      </c>
      <c r="D40" s="3" t="n">
        <v>0</v>
      </c>
      <c r="E40" s="8" t="n">
        <v>2</v>
      </c>
      <c r="F40" s="3" t="n">
        <v>0</v>
      </c>
      <c r="G40" s="3" t="n">
        <v>0</v>
      </c>
      <c r="H40" s="8" t="n">
        <v>1</v>
      </c>
      <c r="I40" s="8" t="n">
        <v>1</v>
      </c>
      <c r="J40" s="3" t="n">
        <v>0</v>
      </c>
      <c r="K40" s="3" t="n">
        <v>0</v>
      </c>
      <c r="L40" s="8" t="n">
        <v>2</v>
      </c>
      <c r="M40" s="8" t="n">
        <v>1</v>
      </c>
      <c r="N40" s="8" t="n">
        <v>1</v>
      </c>
      <c r="O40" s="3" t="n">
        <v>0</v>
      </c>
      <c r="P40" s="8" t="n">
        <v>1</v>
      </c>
      <c r="Q40" s="3" t="n">
        <v>0</v>
      </c>
    </row>
    <row r="41">
      <c r="A41" s="7" t="inlineStr">
        <is>
          <t>illustrator</t>
        </is>
      </c>
      <c r="B41" s="3" t="n">
        <v>3</v>
      </c>
      <c r="C41" s="3" t="n">
        <v>0</v>
      </c>
      <c r="D41" s="3" t="n">
        <v>0</v>
      </c>
      <c r="E41" s="3" t="n">
        <v>0</v>
      </c>
      <c r="F41" s="8" t="n">
        <v>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8" t="n">
        <v>1</v>
      </c>
      <c r="N41" s="8" t="n">
        <v>1</v>
      </c>
      <c r="O41" s="3" t="n">
        <v>0</v>
      </c>
      <c r="P41" s="3" t="n">
        <v>0</v>
      </c>
      <c r="Q41" s="3" t="n">
        <v>0</v>
      </c>
    </row>
    <row r="42">
      <c r="A42" s="7" t="inlineStr">
        <is>
          <t>input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8" t="n">
        <v>1</v>
      </c>
    </row>
    <row r="43">
      <c r="A43" s="7" t="inlineStr">
        <is>
          <t>internal</t>
        </is>
      </c>
      <c r="B43" s="3" t="n">
        <v>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8" t="n">
        <v>1</v>
      </c>
      <c r="P43" s="3" t="n">
        <v>0</v>
      </c>
      <c r="Q43" s="3" t="n">
        <v>0</v>
      </c>
    </row>
    <row r="44">
      <c r="A44" s="7" t="inlineStr">
        <is>
          <t>kantor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8" t="n">
        <v>1</v>
      </c>
    </row>
    <row r="45">
      <c r="A45" s="7" t="inlineStr">
        <is>
          <t>kelola</t>
        </is>
      </c>
      <c r="B45" s="3" t="n">
        <v>2</v>
      </c>
      <c r="C45" s="3" t="n">
        <v>0</v>
      </c>
      <c r="D45" s="3" t="n">
        <v>0</v>
      </c>
      <c r="E45" s="3" t="n">
        <v>0</v>
      </c>
      <c r="F45" s="3" t="n">
        <v>0</v>
      </c>
      <c r="G45" s="8" t="n">
        <v>1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8" t="n">
        <v>1</v>
      </c>
      <c r="Q45" s="3" t="n">
        <v>0</v>
      </c>
    </row>
    <row r="46">
      <c r="A46" s="7" t="inlineStr">
        <is>
          <t>kreatif</t>
        </is>
      </c>
      <c r="B46" s="3" t="n">
        <v>2</v>
      </c>
      <c r="C46" s="3" t="n">
        <v>0</v>
      </c>
      <c r="D46" s="3" t="n">
        <v>0</v>
      </c>
      <c r="E46" s="3" t="n">
        <v>0</v>
      </c>
      <c r="F46" s="8" t="n">
        <v>2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8" t="n">
        <v>1</v>
      </c>
      <c r="O46" s="3" t="n">
        <v>0</v>
      </c>
      <c r="P46" s="3" t="n">
        <v>0</v>
      </c>
      <c r="Q46" s="3" t="n">
        <v>0</v>
      </c>
    </row>
    <row r="47">
      <c r="A47" s="7" t="inlineStr">
        <is>
          <t>kuasa</t>
        </is>
      </c>
      <c r="B47" s="3" t="n">
        <v>5</v>
      </c>
      <c r="C47" s="8" t="n">
        <v>1</v>
      </c>
      <c r="D47" s="3" t="n">
        <v>0</v>
      </c>
      <c r="E47" s="3" t="n">
        <v>0</v>
      </c>
      <c r="F47" s="8" t="n">
        <v>1</v>
      </c>
      <c r="G47" s="3" t="n">
        <v>0</v>
      </c>
      <c r="H47" s="3" t="n">
        <v>0</v>
      </c>
      <c r="I47" s="8" t="n">
        <v>1</v>
      </c>
      <c r="J47" s="3" t="n">
        <v>0</v>
      </c>
      <c r="K47" s="3" t="n">
        <v>0</v>
      </c>
      <c r="L47" s="3" t="n">
        <v>0</v>
      </c>
      <c r="M47" s="8" t="n">
        <v>1</v>
      </c>
      <c r="N47" s="3" t="n">
        <v>0</v>
      </c>
      <c r="O47" s="3" t="n">
        <v>0</v>
      </c>
      <c r="P47" s="3" t="n">
        <v>0</v>
      </c>
      <c r="Q47" s="8" t="n">
        <v>1</v>
      </c>
    </row>
    <row r="48">
      <c r="A48" s="7" t="inlineStr">
        <is>
          <t>laku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8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7" t="inlineStr">
        <is>
          <t>lanjut</t>
        </is>
      </c>
      <c r="B49" s="3" t="n">
        <v>1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8" t="n">
        <v>1</v>
      </c>
      <c r="P49" s="3" t="n">
        <v>0</v>
      </c>
      <c r="Q49" s="3" t="n">
        <v>0</v>
      </c>
    </row>
    <row r="50">
      <c r="A50" s="7" t="inlineStr">
        <is>
          <t>lapor</t>
        </is>
      </c>
      <c r="B50" s="3" t="n">
        <v>2</v>
      </c>
      <c r="C50" s="3" t="n">
        <v>0</v>
      </c>
      <c r="D50" s="3" t="n">
        <v>0</v>
      </c>
      <c r="E50" s="3" t="n">
        <v>0</v>
      </c>
      <c r="F50" s="3" t="n">
        <v>0</v>
      </c>
      <c r="G50" s="8" t="n">
        <v>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8" t="n">
        <v>1</v>
      </c>
      <c r="P50" s="3" t="n">
        <v>0</v>
      </c>
      <c r="Q50" s="3" t="n">
        <v>0</v>
      </c>
    </row>
    <row r="51">
      <c r="A51" s="7" t="inlineStr">
        <is>
          <t>laravel</t>
        </is>
      </c>
      <c r="B51" s="3" t="n">
        <v>2</v>
      </c>
      <c r="C51" s="8" t="n">
        <v>1</v>
      </c>
      <c r="D51" s="3" t="n">
        <v>0</v>
      </c>
      <c r="E51" s="3" t="n">
        <v>0</v>
      </c>
      <c r="F51" s="3" t="n">
        <v>0</v>
      </c>
      <c r="G51" s="3" t="n">
        <v>0</v>
      </c>
      <c r="H51" s="8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7" t="inlineStr">
        <is>
          <t>learning</t>
        </is>
      </c>
      <c r="B52" s="3" t="n">
        <v>3</v>
      </c>
      <c r="C52" s="3" t="n">
        <v>0</v>
      </c>
      <c r="D52" s="8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8" t="n">
        <v>1</v>
      </c>
      <c r="K52" s="8" t="n">
        <v>1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7" t="inlineStr">
        <is>
          <t>logistik</t>
        </is>
      </c>
      <c r="B53" s="3" t="n">
        <v>1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8" t="n">
        <v>1</v>
      </c>
    </row>
    <row r="54">
      <c r="A54" s="7" t="inlineStr">
        <is>
          <t>luas</t>
        </is>
      </c>
      <c r="B54" s="3" t="n">
        <v>1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8" t="n">
        <v>1</v>
      </c>
      <c r="O54" s="3" t="n">
        <v>0</v>
      </c>
      <c r="P54" s="3" t="n">
        <v>0</v>
      </c>
      <c r="Q54" s="3" t="n">
        <v>0</v>
      </c>
    </row>
    <row r="55">
      <c r="A55" s="7" t="inlineStr">
        <is>
          <t>lulus</t>
        </is>
      </c>
      <c r="B55" s="3" t="n">
        <v>2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8" t="n">
        <v>1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8" t="n">
        <v>1</v>
      </c>
    </row>
    <row r="56">
      <c r="A56" s="7" t="inlineStr">
        <is>
          <t>machine</t>
        </is>
      </c>
      <c r="B56" s="3" t="n">
        <v>3</v>
      </c>
      <c r="C56" s="3" t="n">
        <v>0</v>
      </c>
      <c r="D56" s="8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8" t="n">
        <v>1</v>
      </c>
      <c r="K56" s="8" t="n">
        <v>1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7" t="inlineStr">
        <is>
          <t>mahir</t>
        </is>
      </c>
      <c r="B57" s="3" t="n">
        <v>5</v>
      </c>
      <c r="C57" s="3" t="n">
        <v>0</v>
      </c>
      <c r="D57" s="3" t="n">
        <v>0</v>
      </c>
      <c r="E57" s="8" t="n">
        <v>1</v>
      </c>
      <c r="F57" s="3" t="n">
        <v>0</v>
      </c>
      <c r="G57" s="3" t="n">
        <v>0</v>
      </c>
      <c r="H57" s="3" t="n">
        <v>0</v>
      </c>
      <c r="I57" s="3" t="n">
        <v>0</v>
      </c>
      <c r="J57" s="8" t="n">
        <v>1</v>
      </c>
      <c r="K57" s="3" t="n">
        <v>0</v>
      </c>
      <c r="L57" s="8" t="n">
        <v>1</v>
      </c>
      <c r="M57" s="3" t="n">
        <v>0</v>
      </c>
      <c r="N57" s="8" t="n">
        <v>1</v>
      </c>
      <c r="O57" s="3" t="n">
        <v>0</v>
      </c>
      <c r="P57" s="8" t="n">
        <v>1</v>
      </c>
      <c r="Q57" s="3" t="n">
        <v>0</v>
      </c>
    </row>
    <row r="58">
      <c r="A58" s="7" t="inlineStr">
        <is>
          <t>manajemen</t>
        </is>
      </c>
      <c r="B58" s="3" t="n">
        <v>1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8" t="n">
        <v>1</v>
      </c>
      <c r="P58" s="3" t="n">
        <v>0</v>
      </c>
      <c r="Q58" s="3" t="n">
        <v>0</v>
      </c>
    </row>
    <row r="59">
      <c r="A59" s="7" t="inlineStr">
        <is>
          <t>microsoft</t>
        </is>
      </c>
      <c r="B59" s="3" t="n">
        <v>4</v>
      </c>
      <c r="C59" s="3" t="n">
        <v>0</v>
      </c>
      <c r="D59" s="3" t="n">
        <v>0</v>
      </c>
      <c r="E59" s="3" t="n">
        <v>0</v>
      </c>
      <c r="F59" s="3" t="n">
        <v>0</v>
      </c>
      <c r="G59" s="8" t="n">
        <v>1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8" t="n">
        <v>1</v>
      </c>
      <c r="P59" s="8" t="n">
        <v>1</v>
      </c>
      <c r="Q59" s="8" t="n">
        <v>1</v>
      </c>
    </row>
    <row r="60">
      <c r="A60" s="7" t="inlineStr">
        <is>
          <t>model</t>
        </is>
      </c>
      <c r="B60" s="3" t="n">
        <v>1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8" t="n">
        <v>1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7" t="inlineStr">
        <is>
          <t>mysql</t>
        </is>
      </c>
      <c r="B61" s="3" t="n">
        <v>4</v>
      </c>
      <c r="C61" s="8" t="n">
        <v>1</v>
      </c>
      <c r="D61" s="3" t="n">
        <v>0</v>
      </c>
      <c r="E61" s="3" t="n">
        <v>0</v>
      </c>
      <c r="F61" s="3" t="n">
        <v>0</v>
      </c>
      <c r="G61" s="3" t="n">
        <v>0</v>
      </c>
      <c r="H61" s="8" t="n">
        <v>1</v>
      </c>
      <c r="I61" s="8" t="n">
        <v>1</v>
      </c>
      <c r="J61" s="3" t="n">
        <v>0</v>
      </c>
      <c r="K61" s="8" t="n">
        <v>1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7" t="inlineStr">
        <is>
          <t>paham</t>
        </is>
      </c>
      <c r="B62" s="3" t="n">
        <v>2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8" t="n">
        <v>1</v>
      </c>
      <c r="L62" s="3" t="n">
        <v>0</v>
      </c>
      <c r="M62" s="3" t="n">
        <v>0</v>
      </c>
      <c r="N62" s="3" t="n">
        <v>0</v>
      </c>
      <c r="O62" s="3" t="n">
        <v>0</v>
      </c>
      <c r="P62" s="8" t="n">
        <v>1</v>
      </c>
      <c r="Q62" s="3" t="n">
        <v>0</v>
      </c>
    </row>
    <row r="63">
      <c r="A63" s="7" t="inlineStr">
        <is>
          <t>pajak</t>
        </is>
      </c>
      <c r="B63" s="3" t="n">
        <v>3</v>
      </c>
      <c r="C63" s="3" t="n">
        <v>0</v>
      </c>
      <c r="D63" s="3" t="n">
        <v>0</v>
      </c>
      <c r="E63" s="3" t="n">
        <v>0</v>
      </c>
      <c r="F63" s="3" t="n">
        <v>0</v>
      </c>
      <c r="G63" s="8" t="n">
        <v>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8" t="n">
        <v>1</v>
      </c>
      <c r="P63" s="8" t="n">
        <v>1</v>
      </c>
      <c r="Q63" s="3" t="n">
        <v>0</v>
      </c>
    </row>
    <row r="64">
      <c r="A64" s="7" t="inlineStr">
        <is>
          <t>perusahaan</t>
        </is>
      </c>
      <c r="B64" s="3" t="n">
        <v>3</v>
      </c>
      <c r="C64" s="3" t="n">
        <v>0</v>
      </c>
      <c r="D64" s="8" t="n">
        <v>1</v>
      </c>
      <c r="E64" s="3" t="n">
        <v>0</v>
      </c>
      <c r="F64" s="3" t="n">
        <v>0</v>
      </c>
      <c r="G64" s="8" t="n">
        <v>1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8" t="n">
        <v>1</v>
      </c>
      <c r="P64" s="3" t="n">
        <v>0</v>
      </c>
      <c r="Q64" s="3" t="n">
        <v>0</v>
      </c>
    </row>
    <row r="65">
      <c r="A65" s="7" t="inlineStr">
        <is>
          <t>photoshop</t>
        </is>
      </c>
      <c r="B65" s="3" t="n">
        <v>3</v>
      </c>
      <c r="C65" s="3" t="n">
        <v>0</v>
      </c>
      <c r="D65" s="3" t="n">
        <v>0</v>
      </c>
      <c r="E65" s="3" t="n">
        <v>0</v>
      </c>
      <c r="F65" s="8" t="n">
        <v>1</v>
      </c>
      <c r="G65" s="3" t="n">
        <v>0</v>
      </c>
      <c r="H65" s="3" t="n">
        <v>0</v>
      </c>
      <c r="I65" s="8" t="n">
        <v>1</v>
      </c>
      <c r="J65" s="3" t="n">
        <v>0</v>
      </c>
      <c r="K65" s="3" t="n">
        <v>0</v>
      </c>
      <c r="L65" s="3" t="n">
        <v>0</v>
      </c>
      <c r="M65" s="3" t="n">
        <v>0</v>
      </c>
      <c r="N65" s="8" t="n">
        <v>1</v>
      </c>
      <c r="O65" s="3" t="n">
        <v>0</v>
      </c>
      <c r="P65" s="3" t="n">
        <v>0</v>
      </c>
      <c r="Q65" s="3" t="n">
        <v>0</v>
      </c>
    </row>
    <row r="66">
      <c r="A66" s="7" t="inlineStr">
        <is>
          <t>php</t>
        </is>
      </c>
      <c r="B66" s="3" t="n">
        <v>3</v>
      </c>
      <c r="C66" s="8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8" t="n">
        <v>1</v>
      </c>
      <c r="I66" s="8" t="n">
        <v>1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7" t="inlineStr">
        <is>
          <t>portofolio</t>
        </is>
      </c>
      <c r="B67" s="3" t="n">
        <v>1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8" t="n">
        <v>1</v>
      </c>
      <c r="O67" s="3" t="n">
        <v>0</v>
      </c>
      <c r="P67" s="3" t="n">
        <v>0</v>
      </c>
      <c r="Q67" s="3" t="n">
        <v>0</v>
      </c>
    </row>
    <row r="68">
      <c r="A68" s="7" t="inlineStr">
        <is>
          <t>produk</t>
        </is>
      </c>
      <c r="B68" s="3" t="n">
        <v>1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8" t="n">
        <v>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7" t="inlineStr">
        <is>
          <t>program</t>
        </is>
      </c>
      <c r="B69" s="3" t="n">
        <v>2</v>
      </c>
      <c r="C69" s="8" t="n">
        <v>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8" t="n">
        <v>1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7" t="inlineStr">
        <is>
          <t>prototyping</t>
        </is>
      </c>
      <c r="B70" s="3" t="n">
        <v>2</v>
      </c>
      <c r="C70" s="3" t="n">
        <v>0</v>
      </c>
      <c r="D70" s="3" t="n">
        <v>0</v>
      </c>
      <c r="E70" s="8" t="n">
        <v>1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8" t="n">
        <v>1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7" t="inlineStr">
        <is>
          <t>punya</t>
        </is>
      </c>
      <c r="B71" s="3" t="n">
        <v>1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8" t="n">
        <v>1</v>
      </c>
    </row>
    <row r="72">
      <c r="A72" s="7" t="inlineStr">
        <is>
          <t>python</t>
        </is>
      </c>
      <c r="B72" s="3" t="n">
        <v>3</v>
      </c>
      <c r="C72" s="3" t="n">
        <v>0</v>
      </c>
      <c r="D72" s="8" t="n">
        <v>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8" t="n">
        <v>1</v>
      </c>
      <c r="K72" s="8" t="n">
        <v>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7" t="inlineStr">
        <is>
          <t>query</t>
        </is>
      </c>
      <c r="B73" s="3" t="n">
        <v>1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8" t="n">
        <v>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7" t="inlineStr">
        <is>
          <t>rekonsiliasi</t>
        </is>
      </c>
      <c r="B74" s="3" t="n">
        <v>2</v>
      </c>
      <c r="C74" s="3" t="n">
        <v>0</v>
      </c>
      <c r="D74" s="3" t="n">
        <v>0</v>
      </c>
      <c r="E74" s="3" t="n">
        <v>0</v>
      </c>
      <c r="F74" s="3" t="n">
        <v>0</v>
      </c>
      <c r="G74" s="8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8" t="n">
        <v>1</v>
      </c>
      <c r="Q74" s="3" t="n">
        <v>0</v>
      </c>
    </row>
    <row r="75">
      <c r="A75" s="7" t="inlineStr">
        <is>
          <t>rest</t>
        </is>
      </c>
      <c r="B75" s="3" t="n">
        <v>2</v>
      </c>
      <c r="C75" s="8" t="n">
        <v>1</v>
      </c>
      <c r="D75" s="3" t="n">
        <v>0</v>
      </c>
      <c r="E75" s="3" t="n">
        <v>0</v>
      </c>
      <c r="F75" s="3" t="n">
        <v>0</v>
      </c>
      <c r="G75" s="3" t="n">
        <v>0</v>
      </c>
      <c r="H75" s="8" t="n">
        <v>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7" t="inlineStr">
        <is>
          <t>riset</t>
        </is>
      </c>
      <c r="B76" s="3" t="n">
        <v>2</v>
      </c>
      <c r="C76" s="3" t="n">
        <v>0</v>
      </c>
      <c r="D76" s="3" t="n">
        <v>0</v>
      </c>
      <c r="E76" s="8" t="n">
        <v>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8" t="n">
        <v>1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</row>
    <row r="77">
      <c r="A77" s="7" t="inlineStr">
        <is>
          <t>sangat</t>
        </is>
      </c>
      <c r="B77" s="3" t="n">
        <v>1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8" t="n">
        <v>1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7" t="inlineStr">
        <is>
          <t>scientist</t>
        </is>
      </c>
      <c r="B78" s="3" t="n">
        <v>2</v>
      </c>
      <c r="C78" s="3" t="n">
        <v>0</v>
      </c>
      <c r="D78" s="8" t="n">
        <v>1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8" t="n">
        <v>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7" t="inlineStr">
        <is>
          <t>sedikit</t>
        </is>
      </c>
      <c r="B79" s="3" t="n">
        <v>1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8" t="n">
        <v>1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7" t="inlineStr">
        <is>
          <t>senior</t>
        </is>
      </c>
      <c r="B80" s="3" t="n">
        <v>1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8" t="n">
        <v>1</v>
      </c>
      <c r="P80" s="3" t="n">
        <v>0</v>
      </c>
      <c r="Q80" s="3" t="n">
        <v>0</v>
      </c>
    </row>
    <row r="81">
      <c r="A81" s="7" t="inlineStr">
        <is>
          <t>serbabisa</t>
        </is>
      </c>
      <c r="B81" s="3" t="n">
        <v>1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8" t="n">
        <v>1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7" t="inlineStr">
        <is>
          <t>spesialis</t>
        </is>
      </c>
      <c r="B82" s="3" t="n">
        <v>1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8" t="n">
        <v>1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7" t="inlineStr">
        <is>
          <t>sql</t>
        </is>
      </c>
      <c r="B83" s="3" t="n">
        <v>3</v>
      </c>
      <c r="C83" s="3" t="n">
        <v>0</v>
      </c>
      <c r="D83" s="8" t="n">
        <v>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8" t="n">
        <v>1</v>
      </c>
      <c r="K83" s="8" t="n">
        <v>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7" t="inlineStr">
        <is>
          <t>staff</t>
        </is>
      </c>
      <c r="B84" s="3" t="n">
        <v>1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8" t="n">
        <v>1</v>
      </c>
      <c r="Q84" s="3" t="n">
        <v>0</v>
      </c>
    </row>
    <row r="85">
      <c r="A85" s="7" t="inlineStr">
        <is>
          <t>statistik</t>
        </is>
      </c>
      <c r="B85" s="3" t="n">
        <v>1</v>
      </c>
      <c r="C85" s="3" t="n">
        <v>0</v>
      </c>
      <c r="D85" s="8" t="n">
        <v>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7" t="inlineStr">
        <is>
          <t>statistika</t>
        </is>
      </c>
      <c r="B86" s="3" t="n">
        <v>1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8" t="n">
        <v>1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7" t="inlineStr">
        <is>
          <t>susun</t>
        </is>
      </c>
      <c r="B87" s="3" t="n">
        <v>1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8" t="n">
        <v>1</v>
      </c>
      <c r="P87" s="3" t="n">
        <v>0</v>
      </c>
      <c r="Q87" s="3" t="n">
        <v>0</v>
      </c>
    </row>
    <row r="88">
      <c r="A88" s="7" t="inlineStr">
        <is>
          <t>tingkat</t>
        </is>
      </c>
      <c r="B88" s="3" t="n">
        <v>1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8" t="n">
        <v>1</v>
      </c>
      <c r="P88" s="3" t="n">
        <v>0</v>
      </c>
      <c r="Q88" s="3" t="n">
        <v>0</v>
      </c>
    </row>
    <row r="89">
      <c r="A89" s="7" t="inlineStr">
        <is>
          <t>uang</t>
        </is>
      </c>
      <c r="B89" s="3" t="n">
        <v>3</v>
      </c>
      <c r="C89" s="3" t="n">
        <v>0</v>
      </c>
      <c r="D89" s="3" t="n">
        <v>0</v>
      </c>
      <c r="E89" s="3" t="n">
        <v>0</v>
      </c>
      <c r="F89" s="3" t="n">
        <v>0</v>
      </c>
      <c r="G89" s="8" t="n">
        <v>1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8" t="n">
        <v>1</v>
      </c>
      <c r="P89" s="8" t="n">
        <v>1</v>
      </c>
      <c r="Q89" s="3" t="n">
        <v>0</v>
      </c>
    </row>
    <row r="90">
      <c r="A90" s="7" t="inlineStr">
        <is>
          <t>ui</t>
        </is>
      </c>
      <c r="B90" s="3" t="n">
        <v>3</v>
      </c>
      <c r="C90" s="3" t="n">
        <v>0</v>
      </c>
      <c r="D90" s="3" t="n">
        <v>0</v>
      </c>
      <c r="E90" s="8" t="n">
        <v>1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8" t="n">
        <v>1</v>
      </c>
      <c r="M90" s="8" t="n">
        <v>1</v>
      </c>
      <c r="N90" s="3" t="n">
        <v>0</v>
      </c>
      <c r="O90" s="3" t="n">
        <v>0</v>
      </c>
      <c r="P90" s="3" t="n">
        <v>0</v>
      </c>
      <c r="Q90" s="3" t="n">
        <v>0</v>
      </c>
    </row>
    <row r="91">
      <c r="A91" s="7" t="inlineStr">
        <is>
          <t>ux</t>
        </is>
      </c>
      <c r="B91" s="3" t="n">
        <v>2</v>
      </c>
      <c r="C91" s="3" t="n">
        <v>0</v>
      </c>
      <c r="D91" s="3" t="n">
        <v>0</v>
      </c>
      <c r="E91" s="8" t="n">
        <v>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8" t="n">
        <v>1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7" t="inlineStr">
        <is>
          <t>web</t>
        </is>
      </c>
      <c r="B92" s="3" t="n">
        <v>3</v>
      </c>
      <c r="C92" s="8" t="n">
        <v>1</v>
      </c>
      <c r="D92" s="3" t="n">
        <v>0</v>
      </c>
      <c r="E92" s="3" t="n">
        <v>0</v>
      </c>
      <c r="F92" s="3" t="n">
        <v>0</v>
      </c>
      <c r="G92" s="3" t="n">
        <v>0</v>
      </c>
      <c r="H92" s="8" t="n">
        <v>1</v>
      </c>
      <c r="I92" s="8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7" t="inlineStr">
        <is>
          <t>wireframing</t>
        </is>
      </c>
      <c r="B93" s="3" t="n">
        <v>2</v>
      </c>
      <c r="C93" s="3" t="n">
        <v>0</v>
      </c>
      <c r="D93" s="3" t="n">
        <v>0</v>
      </c>
      <c r="E93" s="8" t="n">
        <v>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8" t="n">
        <v>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Matriks Pembobotan Akhir (TF * IDF)</t>
        </is>
      </c>
    </row>
    <row r="3">
      <c r="A3" s="2" t="inlineStr">
        <is>
          <t>Term</t>
        </is>
      </c>
      <c r="B3" s="2" t="inlineStr">
        <is>
          <t>IDF (Sklearn Math)</t>
        </is>
      </c>
      <c r="C3" s="2" t="inlineStr">
        <is>
          <t>L1</t>
        </is>
      </c>
      <c r="D3" s="2" t="inlineStr">
        <is>
          <t>L2</t>
        </is>
      </c>
      <c r="E3" s="2" t="inlineStr">
        <is>
          <t>L3</t>
        </is>
      </c>
      <c r="F3" s="2" t="inlineStr">
        <is>
          <t>L4</t>
        </is>
      </c>
      <c r="G3" s="2" t="inlineStr">
        <is>
          <t>L5</t>
        </is>
      </c>
      <c r="H3" s="2" t="inlineStr">
        <is>
          <t>P1</t>
        </is>
      </c>
      <c r="I3" s="2" t="inlineStr">
        <is>
          <t>P2</t>
        </is>
      </c>
      <c r="J3" s="2" t="inlineStr">
        <is>
          <t>P3</t>
        </is>
      </c>
      <c r="K3" s="2" t="inlineStr">
        <is>
          <t>P4</t>
        </is>
      </c>
      <c r="L3" s="2" t="inlineStr">
        <is>
          <t>P5</t>
        </is>
      </c>
      <c r="M3" s="2" t="inlineStr">
        <is>
          <t>P6</t>
        </is>
      </c>
      <c r="N3" s="2" t="inlineStr">
        <is>
          <t>P7</t>
        </is>
      </c>
      <c r="O3" s="2" t="inlineStr">
        <is>
          <t>P8</t>
        </is>
      </c>
      <c r="P3" s="2" t="inlineStr">
        <is>
          <t>P9</t>
        </is>
      </c>
      <c r="Q3" s="2" t="inlineStr">
        <is>
          <t>P10</t>
        </is>
      </c>
    </row>
    <row r="4">
      <c r="A4" s="7" t="inlineStr">
        <is>
          <t>administrasi</t>
        </is>
      </c>
      <c r="B4" s="9">
        <f>LN((15+1)/('3. Term Frequency (TF)'!B4+1))+1</f>
        <v/>
      </c>
      <c r="C4" s="9">
        <f>'3. Term Frequency (TF)'!C4 * $B4</f>
        <v/>
      </c>
      <c r="D4" s="9">
        <f>'3. Term Frequency (TF)'!D4 * $B4</f>
        <v/>
      </c>
      <c r="E4" s="9">
        <f>'3. Term Frequency (TF)'!E4 * $B4</f>
        <v/>
      </c>
      <c r="F4" s="9">
        <f>'3. Term Frequency (TF)'!F4 * $B4</f>
        <v/>
      </c>
      <c r="G4" s="9">
        <f>'3. Term Frequency (TF)'!G4 * $B4</f>
        <v/>
      </c>
      <c r="H4" s="9">
        <f>'3. Term Frequency (TF)'!H4 * $B4</f>
        <v/>
      </c>
      <c r="I4" s="9">
        <f>'3. Term Frequency (TF)'!I4 * $B4</f>
        <v/>
      </c>
      <c r="J4" s="9">
        <f>'3. Term Frequency (TF)'!J4 * $B4</f>
        <v/>
      </c>
      <c r="K4" s="9">
        <f>'3. Term Frequency (TF)'!K4 * $B4</f>
        <v/>
      </c>
      <c r="L4" s="9">
        <f>'3. Term Frequency (TF)'!L4 * $B4</f>
        <v/>
      </c>
      <c r="M4" s="9">
        <f>'3. Term Frequency (TF)'!M4 * $B4</f>
        <v/>
      </c>
      <c r="N4" s="9">
        <f>'3. Term Frequency (TF)'!N4 * $B4</f>
        <v/>
      </c>
      <c r="O4" s="9">
        <f>'3. Term Frequency (TF)'!O4 * $B4</f>
        <v/>
      </c>
      <c r="P4" s="9">
        <f>'3. Term Frequency (TF)'!P4 * $B4</f>
        <v/>
      </c>
      <c r="Q4" s="9">
        <f>'3. Term Frequency (TF)'!Q4 * $B4</f>
        <v/>
      </c>
      <c r="R4" s="10" t="n"/>
    </row>
    <row r="5">
      <c r="A5" s="7" t="inlineStr">
        <is>
          <t>adobe</t>
        </is>
      </c>
      <c r="B5" s="9">
        <f>LN((15+1)/('3. Term Frequency (TF)'!B5+1))+1</f>
        <v/>
      </c>
      <c r="C5" s="9">
        <f>'3. Term Frequency (TF)'!C5 * $B5</f>
        <v/>
      </c>
      <c r="D5" s="9">
        <f>'3. Term Frequency (TF)'!D5 * $B5</f>
        <v/>
      </c>
      <c r="E5" s="9">
        <f>'3. Term Frequency (TF)'!E5 * $B5</f>
        <v/>
      </c>
      <c r="F5" s="9">
        <f>'3. Term Frequency (TF)'!F5 * $B5</f>
        <v/>
      </c>
      <c r="G5" s="9">
        <f>'3. Term Frequency (TF)'!G5 * $B5</f>
        <v/>
      </c>
      <c r="H5" s="9">
        <f>'3. Term Frequency (TF)'!H5 * $B5</f>
        <v/>
      </c>
      <c r="I5" s="9">
        <f>'3. Term Frequency (TF)'!I5 * $B5</f>
        <v/>
      </c>
      <c r="J5" s="9">
        <f>'3. Term Frequency (TF)'!J5 * $B5</f>
        <v/>
      </c>
      <c r="K5" s="9">
        <f>'3. Term Frequency (TF)'!K5 * $B5</f>
        <v/>
      </c>
      <c r="L5" s="9">
        <f>'3. Term Frequency (TF)'!L5 * $B5</f>
        <v/>
      </c>
      <c r="M5" s="9">
        <f>'3. Term Frequency (TF)'!M5 * $B5</f>
        <v/>
      </c>
      <c r="N5" s="9">
        <f>'3. Term Frequency (TF)'!N5 * $B5</f>
        <v/>
      </c>
      <c r="O5" s="9">
        <f>'3. Term Frequency (TF)'!O5 * $B5</f>
        <v/>
      </c>
      <c r="P5" s="9">
        <f>'3. Term Frequency (TF)'!P5 * $B5</f>
        <v/>
      </c>
      <c r="Q5" s="9">
        <f>'3. Term Frequency (TF)'!Q5 * $B5</f>
        <v/>
      </c>
      <c r="R5" s="10" t="n"/>
    </row>
    <row r="6">
      <c r="A6" s="7" t="inlineStr">
        <is>
          <t>ahli</t>
        </is>
      </c>
      <c r="B6" s="9">
        <f>LN((15+1)/('3. Term Frequency (TF)'!B6+1))+1</f>
        <v/>
      </c>
      <c r="C6" s="9">
        <f>'3. Term Frequency (TF)'!C6 * $B6</f>
        <v/>
      </c>
      <c r="D6" s="9">
        <f>'3. Term Frequency (TF)'!D6 * $B6</f>
        <v/>
      </c>
      <c r="E6" s="9">
        <f>'3. Term Frequency (TF)'!E6 * $B6</f>
        <v/>
      </c>
      <c r="F6" s="9">
        <f>'3. Term Frequency (TF)'!F6 * $B6</f>
        <v/>
      </c>
      <c r="G6" s="9">
        <f>'3. Term Frequency (TF)'!G6 * $B6</f>
        <v/>
      </c>
      <c r="H6" s="9">
        <f>'3. Term Frequency (TF)'!H6 * $B6</f>
        <v/>
      </c>
      <c r="I6" s="9">
        <f>'3. Term Frequency (TF)'!I6 * $B6</f>
        <v/>
      </c>
      <c r="J6" s="9">
        <f>'3. Term Frequency (TF)'!J6 * $B6</f>
        <v/>
      </c>
      <c r="K6" s="9">
        <f>'3. Term Frequency (TF)'!K6 * $B6</f>
        <v/>
      </c>
      <c r="L6" s="9">
        <f>'3. Term Frequency (TF)'!L6 * $B6</f>
        <v/>
      </c>
      <c r="M6" s="9">
        <f>'3. Term Frequency (TF)'!M6 * $B6</f>
        <v/>
      </c>
      <c r="N6" s="9">
        <f>'3. Term Frequency (TF)'!N6 * $B6</f>
        <v/>
      </c>
      <c r="O6" s="9">
        <f>'3. Term Frequency (TF)'!O6 * $B6</f>
        <v/>
      </c>
      <c r="P6" s="9">
        <f>'3. Term Frequency (TF)'!P6 * $B6</f>
        <v/>
      </c>
      <c r="Q6" s="9">
        <f>'3. Term Frequency (TF)'!Q6 * $B6</f>
        <v/>
      </c>
      <c r="R6" s="10" t="n"/>
    </row>
    <row r="7">
      <c r="A7" s="7" t="inlineStr">
        <is>
          <t>ajar</t>
        </is>
      </c>
      <c r="B7" s="9">
        <f>LN((15+1)/('3. Term Frequency (TF)'!B7+1))+1</f>
        <v/>
      </c>
      <c r="C7" s="9">
        <f>'3. Term Frequency (TF)'!C7 * $B7</f>
        <v/>
      </c>
      <c r="D7" s="9">
        <f>'3. Term Frequency (TF)'!D7 * $B7</f>
        <v/>
      </c>
      <c r="E7" s="9">
        <f>'3. Term Frequency (TF)'!E7 * $B7</f>
        <v/>
      </c>
      <c r="F7" s="9">
        <f>'3. Term Frequency (TF)'!F7 * $B7</f>
        <v/>
      </c>
      <c r="G7" s="9">
        <f>'3. Term Frequency (TF)'!G7 * $B7</f>
        <v/>
      </c>
      <c r="H7" s="9">
        <f>'3. Term Frequency (TF)'!H7 * $B7</f>
        <v/>
      </c>
      <c r="I7" s="9">
        <f>'3. Term Frequency (TF)'!I7 * $B7</f>
        <v/>
      </c>
      <c r="J7" s="9">
        <f>'3. Term Frequency (TF)'!J7 * $B7</f>
        <v/>
      </c>
      <c r="K7" s="9">
        <f>'3. Term Frequency (TF)'!K7 * $B7</f>
        <v/>
      </c>
      <c r="L7" s="9">
        <f>'3. Term Frequency (TF)'!L7 * $B7</f>
        <v/>
      </c>
      <c r="M7" s="9">
        <f>'3. Term Frequency (TF)'!M7 * $B7</f>
        <v/>
      </c>
      <c r="N7" s="9">
        <f>'3. Term Frequency (TF)'!N7 * $B7</f>
        <v/>
      </c>
      <c r="O7" s="9">
        <f>'3. Term Frequency (TF)'!O7 * $B7</f>
        <v/>
      </c>
      <c r="P7" s="9">
        <f>'3. Term Frequency (TF)'!P7 * $B7</f>
        <v/>
      </c>
      <c r="Q7" s="9">
        <f>'3. Term Frequency (TF)'!Q7 * $B7</f>
        <v/>
      </c>
      <c r="R7" s="10" t="n"/>
    </row>
    <row r="8">
      <c r="A8" s="7" t="inlineStr">
        <is>
          <t>akuntan</t>
        </is>
      </c>
      <c r="B8" s="9">
        <f>LN((15+1)/('3. Term Frequency (TF)'!B8+1))+1</f>
        <v/>
      </c>
      <c r="C8" s="9">
        <f>'3. Term Frequency (TF)'!C8 * $B8</f>
        <v/>
      </c>
      <c r="D8" s="9">
        <f>'3. Term Frequency (TF)'!D8 * $B8</f>
        <v/>
      </c>
      <c r="E8" s="9">
        <f>'3. Term Frequency (TF)'!E8 * $B8</f>
        <v/>
      </c>
      <c r="F8" s="9">
        <f>'3. Term Frequency (TF)'!F8 * $B8</f>
        <v/>
      </c>
      <c r="G8" s="9">
        <f>'3. Term Frequency (TF)'!G8 * $B8</f>
        <v/>
      </c>
      <c r="H8" s="9">
        <f>'3. Term Frequency (TF)'!H8 * $B8</f>
        <v/>
      </c>
      <c r="I8" s="9">
        <f>'3. Term Frequency (TF)'!I8 * $B8</f>
        <v/>
      </c>
      <c r="J8" s="9">
        <f>'3. Term Frequency (TF)'!J8 * $B8</f>
        <v/>
      </c>
      <c r="K8" s="9">
        <f>'3. Term Frequency (TF)'!K8 * $B8</f>
        <v/>
      </c>
      <c r="L8" s="9">
        <f>'3. Term Frequency (TF)'!L8 * $B8</f>
        <v/>
      </c>
      <c r="M8" s="9">
        <f>'3. Term Frequency (TF)'!M8 * $B8</f>
        <v/>
      </c>
      <c r="N8" s="9">
        <f>'3. Term Frequency (TF)'!N8 * $B8</f>
        <v/>
      </c>
      <c r="O8" s="9">
        <f>'3. Term Frequency (TF)'!O8 * $B8</f>
        <v/>
      </c>
      <c r="P8" s="9">
        <f>'3. Term Frequency (TF)'!P8 * $B8</f>
        <v/>
      </c>
      <c r="Q8" s="9">
        <f>'3. Term Frequency (TF)'!Q8 * $B8</f>
        <v/>
      </c>
      <c r="R8" s="10" t="n"/>
    </row>
    <row r="9">
      <c r="A9" s="7" t="inlineStr">
        <is>
          <t>akuntansi</t>
        </is>
      </c>
      <c r="B9" s="9">
        <f>LN((15+1)/('3. Term Frequency (TF)'!B9+1))+1</f>
        <v/>
      </c>
      <c r="C9" s="9">
        <f>'3. Term Frequency (TF)'!C9 * $B9</f>
        <v/>
      </c>
      <c r="D9" s="9">
        <f>'3. Term Frequency (TF)'!D9 * $B9</f>
        <v/>
      </c>
      <c r="E9" s="9">
        <f>'3. Term Frequency (TF)'!E9 * $B9</f>
        <v/>
      </c>
      <c r="F9" s="9">
        <f>'3. Term Frequency (TF)'!F9 * $B9</f>
        <v/>
      </c>
      <c r="G9" s="9">
        <f>'3. Term Frequency (TF)'!G9 * $B9</f>
        <v/>
      </c>
      <c r="H9" s="9">
        <f>'3. Term Frequency (TF)'!H9 * $B9</f>
        <v/>
      </c>
      <c r="I9" s="9">
        <f>'3. Term Frequency (TF)'!I9 * $B9</f>
        <v/>
      </c>
      <c r="J9" s="9">
        <f>'3. Term Frequency (TF)'!J9 * $B9</f>
        <v/>
      </c>
      <c r="K9" s="9">
        <f>'3. Term Frequency (TF)'!K9 * $B9</f>
        <v/>
      </c>
      <c r="L9" s="9">
        <f>'3. Term Frequency (TF)'!L9 * $B9</f>
        <v/>
      </c>
      <c r="M9" s="9">
        <f>'3. Term Frequency (TF)'!M9 * $B9</f>
        <v/>
      </c>
      <c r="N9" s="9">
        <f>'3. Term Frequency (TF)'!N9 * $B9</f>
        <v/>
      </c>
      <c r="O9" s="9">
        <f>'3. Term Frequency (TF)'!O9 * $B9</f>
        <v/>
      </c>
      <c r="P9" s="9">
        <f>'3. Term Frequency (TF)'!P9 * $B9</f>
        <v/>
      </c>
      <c r="Q9" s="9">
        <f>'3. Term Frequency (TF)'!Q9 * $B9</f>
        <v/>
      </c>
      <c r="R9" s="10" t="n"/>
    </row>
    <row r="10">
      <c r="A10" s="7" t="inlineStr">
        <is>
          <t>alam</t>
        </is>
      </c>
      <c r="B10" s="9">
        <f>LN((15+1)/('3. Term Frequency (TF)'!B10+1))+1</f>
        <v/>
      </c>
      <c r="C10" s="9">
        <f>'3. Term Frequency (TF)'!C10 * $B10</f>
        <v/>
      </c>
      <c r="D10" s="9">
        <f>'3. Term Frequency (TF)'!D10 * $B10</f>
        <v/>
      </c>
      <c r="E10" s="9">
        <f>'3. Term Frequency (TF)'!E10 * $B10</f>
        <v/>
      </c>
      <c r="F10" s="9">
        <f>'3. Term Frequency (TF)'!F10 * $B10</f>
        <v/>
      </c>
      <c r="G10" s="9">
        <f>'3. Term Frequency (TF)'!G10 * $B10</f>
        <v/>
      </c>
      <c r="H10" s="9">
        <f>'3. Term Frequency (TF)'!H10 * $B10</f>
        <v/>
      </c>
      <c r="I10" s="9">
        <f>'3. Term Frequency (TF)'!I10 * $B10</f>
        <v/>
      </c>
      <c r="J10" s="9">
        <f>'3. Term Frequency (TF)'!J10 * $B10</f>
        <v/>
      </c>
      <c r="K10" s="9">
        <f>'3. Term Frequency (TF)'!K10 * $B10</f>
        <v/>
      </c>
      <c r="L10" s="9">
        <f>'3. Term Frequency (TF)'!L10 * $B10</f>
        <v/>
      </c>
      <c r="M10" s="9">
        <f>'3. Term Frequency (TF)'!M10 * $B10</f>
        <v/>
      </c>
      <c r="N10" s="9">
        <f>'3. Term Frequency (TF)'!N10 * $B10</f>
        <v/>
      </c>
      <c r="O10" s="9">
        <f>'3. Term Frequency (TF)'!O10 * $B10</f>
        <v/>
      </c>
      <c r="P10" s="9">
        <f>'3. Term Frequency (TF)'!P10 * $B10</f>
        <v/>
      </c>
      <c r="Q10" s="9">
        <f>'3. Term Frequency (TF)'!Q10 * $B10</f>
        <v/>
      </c>
      <c r="R10" s="10" t="n"/>
    </row>
    <row r="11">
      <c r="A11" s="7" t="inlineStr">
        <is>
          <t>algoritma</t>
        </is>
      </c>
      <c r="B11" s="9">
        <f>LN((15+1)/('3. Term Frequency (TF)'!B11+1))+1</f>
        <v/>
      </c>
      <c r="C11" s="9">
        <f>'3. Term Frequency (TF)'!C11 * $B11</f>
        <v/>
      </c>
      <c r="D11" s="9">
        <f>'3. Term Frequency (TF)'!D11 * $B11</f>
        <v/>
      </c>
      <c r="E11" s="9">
        <f>'3. Term Frequency (TF)'!E11 * $B11</f>
        <v/>
      </c>
      <c r="F11" s="9">
        <f>'3. Term Frequency (TF)'!F11 * $B11</f>
        <v/>
      </c>
      <c r="G11" s="9">
        <f>'3. Term Frequency (TF)'!G11 * $B11</f>
        <v/>
      </c>
      <c r="H11" s="9">
        <f>'3. Term Frequency (TF)'!H11 * $B11</f>
        <v/>
      </c>
      <c r="I11" s="9">
        <f>'3. Term Frequency (TF)'!I11 * $B11</f>
        <v/>
      </c>
      <c r="J11" s="9">
        <f>'3. Term Frequency (TF)'!J11 * $B11</f>
        <v/>
      </c>
      <c r="K11" s="9">
        <f>'3. Term Frequency (TF)'!K11 * $B11</f>
        <v/>
      </c>
      <c r="L11" s="9">
        <f>'3. Term Frequency (TF)'!L11 * $B11</f>
        <v/>
      </c>
      <c r="M11" s="9">
        <f>'3. Term Frequency (TF)'!M11 * $B11</f>
        <v/>
      </c>
      <c r="N11" s="9">
        <f>'3. Term Frequency (TF)'!N11 * $B11</f>
        <v/>
      </c>
      <c r="O11" s="9">
        <f>'3. Term Frequency (TF)'!O11 * $B11</f>
        <v/>
      </c>
      <c r="P11" s="9">
        <f>'3. Term Frequency (TF)'!P11 * $B11</f>
        <v/>
      </c>
      <c r="Q11" s="9">
        <f>'3. Term Frequency (TF)'!Q11 * $B11</f>
        <v/>
      </c>
      <c r="R11" s="10" t="n"/>
    </row>
    <row r="12">
      <c r="A12" s="7" t="inlineStr">
        <is>
          <t>analisis</t>
        </is>
      </c>
      <c r="B12" s="9">
        <f>LN((15+1)/('3. Term Frequency (TF)'!B12+1))+1</f>
        <v/>
      </c>
      <c r="C12" s="9">
        <f>'3. Term Frequency (TF)'!C12 * $B12</f>
        <v/>
      </c>
      <c r="D12" s="9">
        <f>'3. Term Frequency (TF)'!D12 * $B12</f>
        <v/>
      </c>
      <c r="E12" s="9">
        <f>'3. Term Frequency (TF)'!E12 * $B12</f>
        <v/>
      </c>
      <c r="F12" s="9">
        <f>'3. Term Frequency (TF)'!F12 * $B12</f>
        <v/>
      </c>
      <c r="G12" s="9">
        <f>'3. Term Frequency (TF)'!G12 * $B12</f>
        <v/>
      </c>
      <c r="H12" s="9">
        <f>'3. Term Frequency (TF)'!H12 * $B12</f>
        <v/>
      </c>
      <c r="I12" s="9">
        <f>'3. Term Frequency (TF)'!I12 * $B12</f>
        <v/>
      </c>
      <c r="J12" s="9">
        <f>'3. Term Frequency (TF)'!J12 * $B12</f>
        <v/>
      </c>
      <c r="K12" s="9">
        <f>'3. Term Frequency (TF)'!K12 * $B12</f>
        <v/>
      </c>
      <c r="L12" s="9">
        <f>'3. Term Frequency (TF)'!L12 * $B12</f>
        <v/>
      </c>
      <c r="M12" s="9">
        <f>'3. Term Frequency (TF)'!M12 * $B12</f>
        <v/>
      </c>
      <c r="N12" s="9">
        <f>'3. Term Frequency (TF)'!N12 * $B12</f>
        <v/>
      </c>
      <c r="O12" s="9">
        <f>'3. Term Frequency (TF)'!O12 * $B12</f>
        <v/>
      </c>
      <c r="P12" s="9">
        <f>'3. Term Frequency (TF)'!P12 * $B12</f>
        <v/>
      </c>
      <c r="Q12" s="9">
        <f>'3. Term Frequency (TF)'!Q12 * $B12</f>
        <v/>
      </c>
      <c r="R12" s="10" t="n"/>
    </row>
    <row r="13">
      <c r="A13" s="7" t="inlineStr">
        <is>
          <t>analyst</t>
        </is>
      </c>
      <c r="B13" s="9">
        <f>LN((15+1)/('3. Term Frequency (TF)'!B13+1))+1</f>
        <v/>
      </c>
      <c r="C13" s="9">
        <f>'3. Term Frequency (TF)'!C13 * $B13</f>
        <v/>
      </c>
      <c r="D13" s="9">
        <f>'3. Term Frequency (TF)'!D13 * $B13</f>
        <v/>
      </c>
      <c r="E13" s="9">
        <f>'3. Term Frequency (TF)'!E13 * $B13</f>
        <v/>
      </c>
      <c r="F13" s="9">
        <f>'3. Term Frequency (TF)'!F13 * $B13</f>
        <v/>
      </c>
      <c r="G13" s="9">
        <f>'3. Term Frequency (TF)'!G13 * $B13</f>
        <v/>
      </c>
      <c r="H13" s="9">
        <f>'3. Term Frequency (TF)'!H13 * $B13</f>
        <v/>
      </c>
      <c r="I13" s="9">
        <f>'3. Term Frequency (TF)'!I13 * $B13</f>
        <v/>
      </c>
      <c r="J13" s="9">
        <f>'3. Term Frequency (TF)'!J13 * $B13</f>
        <v/>
      </c>
      <c r="K13" s="9">
        <f>'3. Term Frequency (TF)'!K13 * $B13</f>
        <v/>
      </c>
      <c r="L13" s="9">
        <f>'3. Term Frequency (TF)'!L13 * $B13</f>
        <v/>
      </c>
      <c r="M13" s="9">
        <f>'3. Term Frequency (TF)'!M13 * $B13</f>
        <v/>
      </c>
      <c r="N13" s="9">
        <f>'3. Term Frequency (TF)'!N13 * $B13</f>
        <v/>
      </c>
      <c r="O13" s="9">
        <f>'3. Term Frequency (TF)'!O13 * $B13</f>
        <v/>
      </c>
      <c r="P13" s="9">
        <f>'3. Term Frequency (TF)'!P13 * $B13</f>
        <v/>
      </c>
      <c r="Q13" s="9">
        <f>'3. Term Frequency (TF)'!Q13 * $B13</f>
        <v/>
      </c>
      <c r="R13" s="10" t="n"/>
    </row>
    <row r="14">
      <c r="A14" s="7" t="inlineStr">
        <is>
          <t>api</t>
        </is>
      </c>
      <c r="B14" s="9">
        <f>LN((15+1)/('3. Term Frequency (TF)'!B14+1))+1</f>
        <v/>
      </c>
      <c r="C14" s="9">
        <f>'3. Term Frequency (TF)'!C14 * $B14</f>
        <v/>
      </c>
      <c r="D14" s="9">
        <f>'3. Term Frequency (TF)'!D14 * $B14</f>
        <v/>
      </c>
      <c r="E14" s="9">
        <f>'3. Term Frequency (TF)'!E14 * $B14</f>
        <v/>
      </c>
      <c r="F14" s="9">
        <f>'3. Term Frequency (TF)'!F14 * $B14</f>
        <v/>
      </c>
      <c r="G14" s="9">
        <f>'3. Term Frequency (TF)'!G14 * $B14</f>
        <v/>
      </c>
      <c r="H14" s="9">
        <f>'3. Term Frequency (TF)'!H14 * $B14</f>
        <v/>
      </c>
      <c r="I14" s="9">
        <f>'3. Term Frequency (TF)'!I14 * $B14</f>
        <v/>
      </c>
      <c r="J14" s="9">
        <f>'3. Term Frequency (TF)'!J14 * $B14</f>
        <v/>
      </c>
      <c r="K14" s="9">
        <f>'3. Term Frequency (TF)'!K14 * $B14</f>
        <v/>
      </c>
      <c r="L14" s="9">
        <f>'3. Term Frequency (TF)'!L14 * $B14</f>
        <v/>
      </c>
      <c r="M14" s="9">
        <f>'3. Term Frequency (TF)'!M14 * $B14</f>
        <v/>
      </c>
      <c r="N14" s="9">
        <f>'3. Term Frequency (TF)'!N14 * $B14</f>
        <v/>
      </c>
      <c r="O14" s="9">
        <f>'3. Term Frequency (TF)'!O14 * $B14</f>
        <v/>
      </c>
      <c r="P14" s="9">
        <f>'3. Term Frequency (TF)'!P14 * $B14</f>
        <v/>
      </c>
      <c r="Q14" s="9">
        <f>'3. Term Frequency (TF)'!Q14 * $B14</f>
        <v/>
      </c>
      <c r="R14" s="10" t="n"/>
    </row>
    <row r="15">
      <c r="A15" s="7" t="inlineStr">
        <is>
          <t>aset</t>
        </is>
      </c>
      <c r="B15" s="9">
        <f>LN((15+1)/('3. Term Frequency (TF)'!B15+1))+1</f>
        <v/>
      </c>
      <c r="C15" s="9">
        <f>'3. Term Frequency (TF)'!C15 * $B15</f>
        <v/>
      </c>
      <c r="D15" s="9">
        <f>'3. Term Frequency (TF)'!D15 * $B15</f>
        <v/>
      </c>
      <c r="E15" s="9">
        <f>'3. Term Frequency (TF)'!E15 * $B15</f>
        <v/>
      </c>
      <c r="F15" s="9">
        <f>'3. Term Frequency (TF)'!F15 * $B15</f>
        <v/>
      </c>
      <c r="G15" s="9">
        <f>'3. Term Frequency (TF)'!G15 * $B15</f>
        <v/>
      </c>
      <c r="H15" s="9">
        <f>'3. Term Frequency (TF)'!H15 * $B15</f>
        <v/>
      </c>
      <c r="I15" s="9">
        <f>'3. Term Frequency (TF)'!I15 * $B15</f>
        <v/>
      </c>
      <c r="J15" s="9">
        <f>'3. Term Frequency (TF)'!J15 * $B15</f>
        <v/>
      </c>
      <c r="K15" s="9">
        <f>'3. Term Frequency (TF)'!K15 * $B15</f>
        <v/>
      </c>
      <c r="L15" s="9">
        <f>'3. Term Frequency (TF)'!L15 * $B15</f>
        <v/>
      </c>
      <c r="M15" s="9">
        <f>'3. Term Frequency (TF)'!M15 * $B15</f>
        <v/>
      </c>
      <c r="N15" s="9">
        <f>'3. Term Frequency (TF)'!N15 * $B15</f>
        <v/>
      </c>
      <c r="O15" s="9">
        <f>'3. Term Frequency (TF)'!O15 * $B15</f>
        <v/>
      </c>
      <c r="P15" s="9">
        <f>'3. Term Frequency (TF)'!P15 * $B15</f>
        <v/>
      </c>
      <c r="Q15" s="9">
        <f>'3. Term Frequency (TF)'!Q15 * $B15</f>
        <v/>
      </c>
      <c r="R15" s="10" t="n"/>
    </row>
    <row r="16">
      <c r="A16" s="7" t="inlineStr">
        <is>
          <t>audit</t>
        </is>
      </c>
      <c r="B16" s="9">
        <f>LN((15+1)/('3. Term Frequency (TF)'!B16+1))+1</f>
        <v/>
      </c>
      <c r="C16" s="9">
        <f>'3. Term Frequency (TF)'!C16 * $B16</f>
        <v/>
      </c>
      <c r="D16" s="9">
        <f>'3. Term Frequency (TF)'!D16 * $B16</f>
        <v/>
      </c>
      <c r="E16" s="9">
        <f>'3. Term Frequency (TF)'!E16 * $B16</f>
        <v/>
      </c>
      <c r="F16" s="9">
        <f>'3. Term Frequency (TF)'!F16 * $B16</f>
        <v/>
      </c>
      <c r="G16" s="9">
        <f>'3. Term Frequency (TF)'!G16 * $B16</f>
        <v/>
      </c>
      <c r="H16" s="9">
        <f>'3. Term Frequency (TF)'!H16 * $B16</f>
        <v/>
      </c>
      <c r="I16" s="9">
        <f>'3. Term Frequency (TF)'!I16 * $B16</f>
        <v/>
      </c>
      <c r="J16" s="9">
        <f>'3. Term Frequency (TF)'!J16 * $B16</f>
        <v/>
      </c>
      <c r="K16" s="9">
        <f>'3. Term Frequency (TF)'!K16 * $B16</f>
        <v/>
      </c>
      <c r="L16" s="9">
        <f>'3. Term Frequency (TF)'!L16 * $B16</f>
        <v/>
      </c>
      <c r="M16" s="9">
        <f>'3. Term Frequency (TF)'!M16 * $B16</f>
        <v/>
      </c>
      <c r="N16" s="9">
        <f>'3. Term Frequency (TF)'!N16 * $B16</f>
        <v/>
      </c>
      <c r="O16" s="9">
        <f>'3. Term Frequency (TF)'!O16 * $B16</f>
        <v/>
      </c>
      <c r="P16" s="9">
        <f>'3. Term Frequency (TF)'!P16 * $B16</f>
        <v/>
      </c>
      <c r="Q16" s="9">
        <f>'3. Term Frequency (TF)'!Q16 * $B16</f>
        <v/>
      </c>
      <c r="R16" s="10" t="n"/>
    </row>
    <row r="17">
      <c r="A17" s="7" t="inlineStr">
        <is>
          <t>bank</t>
        </is>
      </c>
      <c r="B17" s="9">
        <f>LN((15+1)/('3. Term Frequency (TF)'!B17+1))+1</f>
        <v/>
      </c>
      <c r="C17" s="9">
        <f>'3. Term Frequency (TF)'!C17 * $B17</f>
        <v/>
      </c>
      <c r="D17" s="9">
        <f>'3. Term Frequency (TF)'!D17 * $B17</f>
        <v/>
      </c>
      <c r="E17" s="9">
        <f>'3. Term Frequency (TF)'!E17 * $B17</f>
        <v/>
      </c>
      <c r="F17" s="9">
        <f>'3. Term Frequency (TF)'!F17 * $B17</f>
        <v/>
      </c>
      <c r="G17" s="9">
        <f>'3. Term Frequency (TF)'!G17 * $B17</f>
        <v/>
      </c>
      <c r="H17" s="9">
        <f>'3. Term Frequency (TF)'!H17 * $B17</f>
        <v/>
      </c>
      <c r="I17" s="9">
        <f>'3. Term Frequency (TF)'!I17 * $B17</f>
        <v/>
      </c>
      <c r="J17" s="9">
        <f>'3. Term Frequency (TF)'!J17 * $B17</f>
        <v/>
      </c>
      <c r="K17" s="9">
        <f>'3. Term Frequency (TF)'!K17 * $B17</f>
        <v/>
      </c>
      <c r="L17" s="9">
        <f>'3. Term Frequency (TF)'!L17 * $B17</f>
        <v/>
      </c>
      <c r="M17" s="9">
        <f>'3. Term Frequency (TF)'!M17 * $B17</f>
        <v/>
      </c>
      <c r="N17" s="9">
        <f>'3. Term Frequency (TF)'!N17 * $B17</f>
        <v/>
      </c>
      <c r="O17" s="9">
        <f>'3. Term Frequency (TF)'!O17 * $B17</f>
        <v/>
      </c>
      <c r="P17" s="9">
        <f>'3. Term Frequency (TF)'!P17 * $B17</f>
        <v/>
      </c>
      <c r="Q17" s="9">
        <f>'3. Term Frequency (TF)'!Q17 * $B17</f>
        <v/>
      </c>
      <c r="R17" s="10" t="n"/>
    </row>
    <row r="18">
      <c r="A18" s="7" t="inlineStr">
        <is>
          <t>banner</t>
        </is>
      </c>
      <c r="B18" s="9">
        <f>LN((15+1)/('3. Term Frequency (TF)'!B18+1))+1</f>
        <v/>
      </c>
      <c r="C18" s="9">
        <f>'3. Term Frequency (TF)'!C18 * $B18</f>
        <v/>
      </c>
      <c r="D18" s="9">
        <f>'3. Term Frequency (TF)'!D18 * $B18</f>
        <v/>
      </c>
      <c r="E18" s="9">
        <f>'3. Term Frequency (TF)'!E18 * $B18</f>
        <v/>
      </c>
      <c r="F18" s="9">
        <f>'3. Term Frequency (TF)'!F18 * $B18</f>
        <v/>
      </c>
      <c r="G18" s="9">
        <f>'3. Term Frequency (TF)'!G18 * $B18</f>
        <v/>
      </c>
      <c r="H18" s="9">
        <f>'3. Term Frequency (TF)'!H18 * $B18</f>
        <v/>
      </c>
      <c r="I18" s="9">
        <f>'3. Term Frequency (TF)'!I18 * $B18</f>
        <v/>
      </c>
      <c r="J18" s="9">
        <f>'3. Term Frequency (TF)'!J18 * $B18</f>
        <v/>
      </c>
      <c r="K18" s="9">
        <f>'3. Term Frequency (TF)'!K18 * $B18</f>
        <v/>
      </c>
      <c r="L18" s="9">
        <f>'3. Term Frequency (TF)'!L18 * $B18</f>
        <v/>
      </c>
      <c r="M18" s="9">
        <f>'3. Term Frequency (TF)'!M18 * $B18</f>
        <v/>
      </c>
      <c r="N18" s="9">
        <f>'3. Term Frequency (TF)'!N18 * $B18</f>
        <v/>
      </c>
      <c r="O18" s="9">
        <f>'3. Term Frequency (TF)'!O18 * $B18</f>
        <v/>
      </c>
      <c r="P18" s="9">
        <f>'3. Term Frequency (TF)'!P18 * $B18</f>
        <v/>
      </c>
      <c r="Q18" s="9">
        <f>'3. Term Frequency (TF)'!Q18 * $B18</f>
        <v/>
      </c>
      <c r="R18" s="10" t="n"/>
    </row>
    <row r="19">
      <c r="A19" s="7" t="inlineStr">
        <is>
          <t>baru</t>
        </is>
      </c>
      <c r="B19" s="9">
        <f>LN((15+1)/('3. Term Frequency (TF)'!B19+1))+1</f>
        <v/>
      </c>
      <c r="C19" s="9">
        <f>'3. Term Frequency (TF)'!C19 * $B19</f>
        <v/>
      </c>
      <c r="D19" s="9">
        <f>'3. Term Frequency (TF)'!D19 * $B19</f>
        <v/>
      </c>
      <c r="E19" s="9">
        <f>'3. Term Frequency (TF)'!E19 * $B19</f>
        <v/>
      </c>
      <c r="F19" s="9">
        <f>'3. Term Frequency (TF)'!F19 * $B19</f>
        <v/>
      </c>
      <c r="G19" s="9">
        <f>'3. Term Frequency (TF)'!G19 * $B19</f>
        <v/>
      </c>
      <c r="H19" s="9">
        <f>'3. Term Frequency (TF)'!H19 * $B19</f>
        <v/>
      </c>
      <c r="I19" s="9">
        <f>'3. Term Frequency (TF)'!I19 * $B19</f>
        <v/>
      </c>
      <c r="J19" s="9">
        <f>'3. Term Frequency (TF)'!J19 * $B19</f>
        <v/>
      </c>
      <c r="K19" s="9">
        <f>'3. Term Frequency (TF)'!K19 * $B19</f>
        <v/>
      </c>
      <c r="L19" s="9">
        <f>'3. Term Frequency (TF)'!L19 * $B19</f>
        <v/>
      </c>
      <c r="M19" s="9">
        <f>'3. Term Frequency (TF)'!M19 * $B19</f>
        <v/>
      </c>
      <c r="N19" s="9">
        <f>'3. Term Frequency (TF)'!N19 * $B19</f>
        <v/>
      </c>
      <c r="O19" s="9">
        <f>'3. Term Frequency (TF)'!O19 * $B19</f>
        <v/>
      </c>
      <c r="P19" s="9">
        <f>'3. Term Frequency (TF)'!P19 * $B19</f>
        <v/>
      </c>
      <c r="Q19" s="9">
        <f>'3. Term Frequency (TF)'!Q19 * $B19</f>
        <v/>
      </c>
      <c r="R19" s="10" t="n"/>
    </row>
    <row r="20">
      <c r="A20" s="7" t="inlineStr">
        <is>
          <t>biasa</t>
        </is>
      </c>
      <c r="B20" s="9">
        <f>LN((15+1)/('3. Term Frequency (TF)'!B20+1))+1</f>
        <v/>
      </c>
      <c r="C20" s="9">
        <f>'3. Term Frequency (TF)'!C20 * $B20</f>
        <v/>
      </c>
      <c r="D20" s="9">
        <f>'3. Term Frequency (TF)'!D20 * $B20</f>
        <v/>
      </c>
      <c r="E20" s="9">
        <f>'3. Term Frequency (TF)'!E20 * $B20</f>
        <v/>
      </c>
      <c r="F20" s="9">
        <f>'3. Term Frequency (TF)'!F20 * $B20</f>
        <v/>
      </c>
      <c r="G20" s="9">
        <f>'3. Term Frequency (TF)'!G20 * $B20</f>
        <v/>
      </c>
      <c r="H20" s="9">
        <f>'3. Term Frequency (TF)'!H20 * $B20</f>
        <v/>
      </c>
      <c r="I20" s="9">
        <f>'3. Term Frequency (TF)'!I20 * $B20</f>
        <v/>
      </c>
      <c r="J20" s="9">
        <f>'3. Term Frequency (TF)'!J20 * $B20</f>
        <v/>
      </c>
      <c r="K20" s="9">
        <f>'3. Term Frequency (TF)'!K20 * $B20</f>
        <v/>
      </c>
      <c r="L20" s="9">
        <f>'3. Term Frequency (TF)'!L20 * $B20</f>
        <v/>
      </c>
      <c r="M20" s="9">
        <f>'3. Term Frequency (TF)'!M20 * $B20</f>
        <v/>
      </c>
      <c r="N20" s="9">
        <f>'3. Term Frequency (TF)'!N20 * $B20</f>
        <v/>
      </c>
      <c r="O20" s="9">
        <f>'3. Term Frequency (TF)'!O20 * $B20</f>
        <v/>
      </c>
      <c r="P20" s="9">
        <f>'3. Term Frequency (TF)'!P20 * $B20</f>
        <v/>
      </c>
      <c r="Q20" s="9">
        <f>'3. Term Frequency (TF)'!Q20 * $B20</f>
        <v/>
      </c>
      <c r="R20" s="10" t="n"/>
    </row>
    <row r="21">
      <c r="A21" s="7" t="inlineStr">
        <is>
          <t>bidang</t>
        </is>
      </c>
      <c r="B21" s="9">
        <f>LN((15+1)/('3. Term Frequency (TF)'!B21+1))+1</f>
        <v/>
      </c>
      <c r="C21" s="9">
        <f>'3. Term Frequency (TF)'!C21 * $B21</f>
        <v/>
      </c>
      <c r="D21" s="9">
        <f>'3. Term Frequency (TF)'!D21 * $B21</f>
        <v/>
      </c>
      <c r="E21" s="9">
        <f>'3. Term Frequency (TF)'!E21 * $B21</f>
        <v/>
      </c>
      <c r="F21" s="9">
        <f>'3. Term Frequency (TF)'!F21 * $B21</f>
        <v/>
      </c>
      <c r="G21" s="9">
        <f>'3. Term Frequency (TF)'!G21 * $B21</f>
        <v/>
      </c>
      <c r="H21" s="9">
        <f>'3. Term Frequency (TF)'!H21 * $B21</f>
        <v/>
      </c>
      <c r="I21" s="9">
        <f>'3. Term Frequency (TF)'!I21 * $B21</f>
        <v/>
      </c>
      <c r="J21" s="9">
        <f>'3. Term Frequency (TF)'!J21 * $B21</f>
        <v/>
      </c>
      <c r="K21" s="9">
        <f>'3. Term Frequency (TF)'!K21 * $B21</f>
        <v/>
      </c>
      <c r="L21" s="9">
        <f>'3. Term Frequency (TF)'!L21 * $B21</f>
        <v/>
      </c>
      <c r="M21" s="9">
        <f>'3. Term Frequency (TF)'!M21 * $B21</f>
        <v/>
      </c>
      <c r="N21" s="9">
        <f>'3. Term Frequency (TF)'!N21 * $B21</f>
        <v/>
      </c>
      <c r="O21" s="9">
        <f>'3. Term Frequency (TF)'!O21 * $B21</f>
        <v/>
      </c>
      <c r="P21" s="9">
        <f>'3. Term Frequency (TF)'!P21 * $B21</f>
        <v/>
      </c>
      <c r="Q21" s="9">
        <f>'3. Term Frequency (TF)'!Q21 * $B21</f>
        <v/>
      </c>
      <c r="R21" s="10" t="n"/>
    </row>
    <row r="22">
      <c r="A22" s="7" t="inlineStr">
        <is>
          <t>branding</t>
        </is>
      </c>
      <c r="B22" s="9">
        <f>LN((15+1)/('3. Term Frequency (TF)'!B22+1))+1</f>
        <v/>
      </c>
      <c r="C22" s="9">
        <f>'3. Term Frequency (TF)'!C22 * $B22</f>
        <v/>
      </c>
      <c r="D22" s="9">
        <f>'3. Term Frequency (TF)'!D22 * $B22</f>
        <v/>
      </c>
      <c r="E22" s="9">
        <f>'3. Term Frequency (TF)'!E22 * $B22</f>
        <v/>
      </c>
      <c r="F22" s="9">
        <f>'3. Term Frequency (TF)'!F22 * $B22</f>
        <v/>
      </c>
      <c r="G22" s="9">
        <f>'3. Term Frequency (TF)'!G22 * $B22</f>
        <v/>
      </c>
      <c r="H22" s="9">
        <f>'3. Term Frequency (TF)'!H22 * $B22</f>
        <v/>
      </c>
      <c r="I22" s="9">
        <f>'3. Term Frequency (TF)'!I22 * $B22</f>
        <v/>
      </c>
      <c r="J22" s="9">
        <f>'3. Term Frequency (TF)'!J22 * $B22</f>
        <v/>
      </c>
      <c r="K22" s="9">
        <f>'3. Term Frequency (TF)'!K22 * $B22</f>
        <v/>
      </c>
      <c r="L22" s="9">
        <f>'3. Term Frequency (TF)'!L22 * $B22</f>
        <v/>
      </c>
      <c r="M22" s="9">
        <f>'3. Term Frequency (TF)'!M22 * $B22</f>
        <v/>
      </c>
      <c r="N22" s="9">
        <f>'3. Term Frequency (TF)'!N22 * $B22</f>
        <v/>
      </c>
      <c r="O22" s="9">
        <f>'3. Term Frequency (TF)'!O22 * $B22</f>
        <v/>
      </c>
      <c r="P22" s="9">
        <f>'3. Term Frequency (TF)'!P22 * $B22</f>
        <v/>
      </c>
      <c r="Q22" s="9">
        <f>'3. Term Frequency (TF)'!Q22 * $B22</f>
        <v/>
      </c>
      <c r="R22" s="10" t="n"/>
    </row>
    <row r="23">
      <c r="A23" s="7" t="inlineStr">
        <is>
          <t>buat</t>
        </is>
      </c>
      <c r="B23" s="9">
        <f>LN((15+1)/('3. Term Frequency (TF)'!B23+1))+1</f>
        <v/>
      </c>
      <c r="C23" s="9">
        <f>'3. Term Frequency (TF)'!C23 * $B23</f>
        <v/>
      </c>
      <c r="D23" s="9">
        <f>'3. Term Frequency (TF)'!D23 * $B23</f>
        <v/>
      </c>
      <c r="E23" s="9">
        <f>'3. Term Frequency (TF)'!E23 * $B23</f>
        <v/>
      </c>
      <c r="F23" s="9">
        <f>'3. Term Frequency (TF)'!F23 * $B23</f>
        <v/>
      </c>
      <c r="G23" s="9">
        <f>'3. Term Frequency (TF)'!G23 * $B23</f>
        <v/>
      </c>
      <c r="H23" s="9">
        <f>'3. Term Frequency (TF)'!H23 * $B23</f>
        <v/>
      </c>
      <c r="I23" s="9">
        <f>'3. Term Frequency (TF)'!I23 * $B23</f>
        <v/>
      </c>
      <c r="J23" s="9">
        <f>'3. Term Frequency (TF)'!J23 * $B23</f>
        <v/>
      </c>
      <c r="K23" s="9">
        <f>'3. Term Frequency (TF)'!K23 * $B23</f>
        <v/>
      </c>
      <c r="L23" s="9">
        <f>'3. Term Frequency (TF)'!L23 * $B23</f>
        <v/>
      </c>
      <c r="M23" s="9">
        <f>'3. Term Frequency (TF)'!M23 * $B23</f>
        <v/>
      </c>
      <c r="N23" s="9">
        <f>'3. Term Frequency (TF)'!N23 * $B23</f>
        <v/>
      </c>
      <c r="O23" s="9">
        <f>'3. Term Frequency (TF)'!O23 * $B23</f>
        <v/>
      </c>
      <c r="P23" s="9">
        <f>'3. Term Frequency (TF)'!P23 * $B23</f>
        <v/>
      </c>
      <c r="Q23" s="9">
        <f>'3. Term Frequency (TF)'!Q23 * $B23</f>
        <v/>
      </c>
      <c r="R23" s="10" t="n"/>
    </row>
    <row r="24">
      <c r="A24" s="7" t="inlineStr">
        <is>
          <t>butuh</t>
        </is>
      </c>
      <c r="B24" s="9">
        <f>LN((15+1)/('3. Term Frequency (TF)'!B24+1))+1</f>
        <v/>
      </c>
      <c r="C24" s="9">
        <f>'3. Term Frequency (TF)'!C24 * $B24</f>
        <v/>
      </c>
      <c r="D24" s="9">
        <f>'3. Term Frequency (TF)'!D24 * $B24</f>
        <v/>
      </c>
      <c r="E24" s="9">
        <f>'3. Term Frequency (TF)'!E24 * $B24</f>
        <v/>
      </c>
      <c r="F24" s="9">
        <f>'3. Term Frequency (TF)'!F24 * $B24</f>
        <v/>
      </c>
      <c r="G24" s="9">
        <f>'3. Term Frequency (TF)'!G24 * $B24</f>
        <v/>
      </c>
      <c r="H24" s="9">
        <f>'3. Term Frequency (TF)'!H24 * $B24</f>
        <v/>
      </c>
      <c r="I24" s="9">
        <f>'3. Term Frequency (TF)'!I24 * $B24</f>
        <v/>
      </c>
      <c r="J24" s="9">
        <f>'3. Term Frequency (TF)'!J24 * $B24</f>
        <v/>
      </c>
      <c r="K24" s="9">
        <f>'3. Term Frequency (TF)'!K24 * $B24</f>
        <v/>
      </c>
      <c r="L24" s="9">
        <f>'3. Term Frequency (TF)'!L24 * $B24</f>
        <v/>
      </c>
      <c r="M24" s="9">
        <f>'3. Term Frequency (TF)'!M24 * $B24</f>
        <v/>
      </c>
      <c r="N24" s="9">
        <f>'3. Term Frequency (TF)'!N24 * $B24</f>
        <v/>
      </c>
      <c r="O24" s="9">
        <f>'3. Term Frequency (TF)'!O24 * $B24</f>
        <v/>
      </c>
      <c r="P24" s="9">
        <f>'3. Term Frequency (TF)'!P24 * $B24</f>
        <v/>
      </c>
      <c r="Q24" s="9">
        <f>'3. Term Frequency (TF)'!Q24 * $B24</f>
        <v/>
      </c>
      <c r="R24" s="10" t="n"/>
    </row>
    <row r="25">
      <c r="A25" s="7" t="inlineStr">
        <is>
          <t>cari</t>
        </is>
      </c>
      <c r="B25" s="9">
        <f>LN((15+1)/('3. Term Frequency (TF)'!B25+1))+1</f>
        <v/>
      </c>
      <c r="C25" s="9">
        <f>'3. Term Frequency (TF)'!C25 * $B25</f>
        <v/>
      </c>
      <c r="D25" s="9">
        <f>'3. Term Frequency (TF)'!D25 * $B25</f>
        <v/>
      </c>
      <c r="E25" s="9">
        <f>'3. Term Frequency (TF)'!E25 * $B25</f>
        <v/>
      </c>
      <c r="F25" s="9">
        <f>'3. Term Frequency (TF)'!F25 * $B25</f>
        <v/>
      </c>
      <c r="G25" s="9">
        <f>'3. Term Frequency (TF)'!G25 * $B25</f>
        <v/>
      </c>
      <c r="H25" s="9">
        <f>'3. Term Frequency (TF)'!H25 * $B25</f>
        <v/>
      </c>
      <c r="I25" s="9">
        <f>'3. Term Frequency (TF)'!I25 * $B25</f>
        <v/>
      </c>
      <c r="J25" s="9">
        <f>'3. Term Frequency (TF)'!J25 * $B25</f>
        <v/>
      </c>
      <c r="K25" s="9">
        <f>'3. Term Frequency (TF)'!K25 * $B25</f>
        <v/>
      </c>
      <c r="L25" s="9">
        <f>'3. Term Frequency (TF)'!L25 * $B25</f>
        <v/>
      </c>
      <c r="M25" s="9">
        <f>'3. Term Frequency (TF)'!M25 * $B25</f>
        <v/>
      </c>
      <c r="N25" s="9">
        <f>'3. Term Frequency (TF)'!N25 * $B25</f>
        <v/>
      </c>
      <c r="O25" s="9">
        <f>'3. Term Frequency (TF)'!O25 * $B25</f>
        <v/>
      </c>
      <c r="P25" s="9">
        <f>'3. Term Frequency (TF)'!P25 * $B25</f>
        <v/>
      </c>
      <c r="Q25" s="9">
        <f>'3. Term Frequency (TF)'!Q25 * $B25</f>
        <v/>
      </c>
      <c r="R25" s="10" t="n"/>
    </row>
    <row r="26">
      <c r="A26" s="7" t="inlineStr">
        <is>
          <t>data</t>
        </is>
      </c>
      <c r="B26" s="9">
        <f>LN((15+1)/('3. Term Frequency (TF)'!B26+1))+1</f>
        <v/>
      </c>
      <c r="C26" s="9">
        <f>'3. Term Frequency (TF)'!C26 * $B26</f>
        <v/>
      </c>
      <c r="D26" s="9">
        <f>'3. Term Frequency (TF)'!D26 * $B26</f>
        <v/>
      </c>
      <c r="E26" s="9">
        <f>'3. Term Frequency (TF)'!E26 * $B26</f>
        <v/>
      </c>
      <c r="F26" s="9">
        <f>'3. Term Frequency (TF)'!F26 * $B26</f>
        <v/>
      </c>
      <c r="G26" s="9">
        <f>'3. Term Frequency (TF)'!G26 * $B26</f>
        <v/>
      </c>
      <c r="H26" s="9">
        <f>'3. Term Frequency (TF)'!H26 * $B26</f>
        <v/>
      </c>
      <c r="I26" s="9">
        <f>'3. Term Frequency (TF)'!I26 * $B26</f>
        <v/>
      </c>
      <c r="J26" s="9">
        <f>'3. Term Frequency (TF)'!J26 * $B26</f>
        <v/>
      </c>
      <c r="K26" s="9">
        <f>'3. Term Frequency (TF)'!K26 * $B26</f>
        <v/>
      </c>
      <c r="L26" s="9">
        <f>'3. Term Frequency (TF)'!L26 * $B26</f>
        <v/>
      </c>
      <c r="M26" s="9">
        <f>'3. Term Frequency (TF)'!M26 * $B26</f>
        <v/>
      </c>
      <c r="N26" s="9">
        <f>'3. Term Frequency (TF)'!N26 * $B26</f>
        <v/>
      </c>
      <c r="O26" s="9">
        <f>'3. Term Frequency (TF)'!O26 * $B26</f>
        <v/>
      </c>
      <c r="P26" s="9">
        <f>'3. Term Frequency (TF)'!P26 * $B26</f>
        <v/>
      </c>
      <c r="Q26" s="9">
        <f>'3. Term Frequency (TF)'!Q26 * $B26</f>
        <v/>
      </c>
      <c r="R26" s="10" t="n"/>
    </row>
    <row r="27">
      <c r="A27" s="7" t="inlineStr">
        <is>
          <t>database</t>
        </is>
      </c>
      <c r="B27" s="9">
        <f>LN((15+1)/('3. Term Frequency (TF)'!B27+1))+1</f>
        <v/>
      </c>
      <c r="C27" s="9">
        <f>'3. Term Frequency (TF)'!C27 * $B27</f>
        <v/>
      </c>
      <c r="D27" s="9">
        <f>'3. Term Frequency (TF)'!D27 * $B27</f>
        <v/>
      </c>
      <c r="E27" s="9">
        <f>'3. Term Frequency (TF)'!E27 * $B27</f>
        <v/>
      </c>
      <c r="F27" s="9">
        <f>'3. Term Frequency (TF)'!F27 * $B27</f>
        <v/>
      </c>
      <c r="G27" s="9">
        <f>'3. Term Frequency (TF)'!G27 * $B27</f>
        <v/>
      </c>
      <c r="H27" s="9">
        <f>'3. Term Frequency (TF)'!H27 * $B27</f>
        <v/>
      </c>
      <c r="I27" s="9">
        <f>'3. Term Frequency (TF)'!I27 * $B27</f>
        <v/>
      </c>
      <c r="J27" s="9">
        <f>'3. Term Frequency (TF)'!J27 * $B27</f>
        <v/>
      </c>
      <c r="K27" s="9">
        <f>'3. Term Frequency (TF)'!K27 * $B27</f>
        <v/>
      </c>
      <c r="L27" s="9">
        <f>'3. Term Frequency (TF)'!L27 * $B27</f>
        <v/>
      </c>
      <c r="M27" s="9">
        <f>'3. Term Frequency (TF)'!M27 * $B27</f>
        <v/>
      </c>
      <c r="N27" s="9">
        <f>'3. Term Frequency (TF)'!N27 * $B27</f>
        <v/>
      </c>
      <c r="O27" s="9">
        <f>'3. Term Frequency (TF)'!O27 * $B27</f>
        <v/>
      </c>
      <c r="P27" s="9">
        <f>'3. Term Frequency (TF)'!P27 * $B27</f>
        <v/>
      </c>
      <c r="Q27" s="9">
        <f>'3. Term Frequency (TF)'!Q27 * $B27</f>
        <v/>
      </c>
      <c r="R27" s="10" t="n"/>
    </row>
    <row r="28">
      <c r="A28" s="7" t="inlineStr">
        <is>
          <t>desain</t>
        </is>
      </c>
      <c r="B28" s="9">
        <f>LN((15+1)/('3. Term Frequency (TF)'!B28+1))+1</f>
        <v/>
      </c>
      <c r="C28" s="9">
        <f>'3. Term Frequency (TF)'!C28 * $B28</f>
        <v/>
      </c>
      <c r="D28" s="9">
        <f>'3. Term Frequency (TF)'!D28 * $B28</f>
        <v/>
      </c>
      <c r="E28" s="9">
        <f>'3. Term Frequency (TF)'!E28 * $B28</f>
        <v/>
      </c>
      <c r="F28" s="9">
        <f>'3. Term Frequency (TF)'!F28 * $B28</f>
        <v/>
      </c>
      <c r="G28" s="9">
        <f>'3. Term Frequency (TF)'!G28 * $B28</f>
        <v/>
      </c>
      <c r="H28" s="9">
        <f>'3. Term Frequency (TF)'!H28 * $B28</f>
        <v/>
      </c>
      <c r="I28" s="9">
        <f>'3. Term Frequency (TF)'!I28 * $B28</f>
        <v/>
      </c>
      <c r="J28" s="9">
        <f>'3. Term Frequency (TF)'!J28 * $B28</f>
        <v/>
      </c>
      <c r="K28" s="9">
        <f>'3. Term Frequency (TF)'!K28 * $B28</f>
        <v/>
      </c>
      <c r="L28" s="9">
        <f>'3. Term Frequency (TF)'!L28 * $B28</f>
        <v/>
      </c>
      <c r="M28" s="9">
        <f>'3. Term Frequency (TF)'!M28 * $B28</f>
        <v/>
      </c>
      <c r="N28" s="9">
        <f>'3. Term Frequency (TF)'!N28 * $B28</f>
        <v/>
      </c>
      <c r="O28" s="9">
        <f>'3. Term Frequency (TF)'!O28 * $B28</f>
        <v/>
      </c>
      <c r="P28" s="9">
        <f>'3. Term Frequency (TF)'!P28 * $B28</f>
        <v/>
      </c>
      <c r="Q28" s="9">
        <f>'3. Term Frequency (TF)'!Q28 * $B28</f>
        <v/>
      </c>
      <c r="R28" s="10" t="n"/>
    </row>
    <row r="29">
      <c r="A29" s="7" t="inlineStr">
        <is>
          <t>designer</t>
        </is>
      </c>
      <c r="B29" s="9">
        <f>LN((15+1)/('3. Term Frequency (TF)'!B29+1))+1</f>
        <v/>
      </c>
      <c r="C29" s="9">
        <f>'3. Term Frequency (TF)'!C29 * $B29</f>
        <v/>
      </c>
      <c r="D29" s="9">
        <f>'3. Term Frequency (TF)'!D29 * $B29</f>
        <v/>
      </c>
      <c r="E29" s="9">
        <f>'3. Term Frequency (TF)'!E29 * $B29</f>
        <v/>
      </c>
      <c r="F29" s="9">
        <f>'3. Term Frequency (TF)'!F29 * $B29</f>
        <v/>
      </c>
      <c r="G29" s="9">
        <f>'3. Term Frequency (TF)'!G29 * $B29</f>
        <v/>
      </c>
      <c r="H29" s="9">
        <f>'3. Term Frequency (TF)'!H29 * $B29</f>
        <v/>
      </c>
      <c r="I29" s="9">
        <f>'3. Term Frequency (TF)'!I29 * $B29</f>
        <v/>
      </c>
      <c r="J29" s="9">
        <f>'3. Term Frequency (TF)'!J29 * $B29</f>
        <v/>
      </c>
      <c r="K29" s="9">
        <f>'3. Term Frequency (TF)'!K29 * $B29</f>
        <v/>
      </c>
      <c r="L29" s="9">
        <f>'3. Term Frequency (TF)'!L29 * $B29</f>
        <v/>
      </c>
      <c r="M29" s="9">
        <f>'3. Term Frequency (TF)'!M29 * $B29</f>
        <v/>
      </c>
      <c r="N29" s="9">
        <f>'3. Term Frequency (TF)'!N29 * $B29</f>
        <v/>
      </c>
      <c r="O29" s="9">
        <f>'3. Term Frequency (TF)'!O29 * $B29</f>
        <v/>
      </c>
      <c r="P29" s="9">
        <f>'3. Term Frequency (TF)'!P29 * $B29</f>
        <v/>
      </c>
      <c r="Q29" s="9">
        <f>'3. Term Frequency (TF)'!Q29 * $B29</f>
        <v/>
      </c>
      <c r="R29" s="10" t="n"/>
    </row>
    <row r="30">
      <c r="A30" s="7" t="inlineStr">
        <is>
          <t>developer</t>
        </is>
      </c>
      <c r="B30" s="9">
        <f>LN((15+1)/('3. Term Frequency (TF)'!B30+1))+1</f>
        <v/>
      </c>
      <c r="C30" s="9">
        <f>'3. Term Frequency (TF)'!C30 * $B30</f>
        <v/>
      </c>
      <c r="D30" s="9">
        <f>'3. Term Frequency (TF)'!D30 * $B30</f>
        <v/>
      </c>
      <c r="E30" s="9">
        <f>'3. Term Frequency (TF)'!E30 * $B30</f>
        <v/>
      </c>
      <c r="F30" s="9">
        <f>'3. Term Frequency (TF)'!F30 * $B30</f>
        <v/>
      </c>
      <c r="G30" s="9">
        <f>'3. Term Frequency (TF)'!G30 * $B30</f>
        <v/>
      </c>
      <c r="H30" s="9">
        <f>'3. Term Frequency (TF)'!H30 * $B30</f>
        <v/>
      </c>
      <c r="I30" s="9">
        <f>'3. Term Frequency (TF)'!I30 * $B30</f>
        <v/>
      </c>
      <c r="J30" s="9">
        <f>'3. Term Frequency (TF)'!J30 * $B30</f>
        <v/>
      </c>
      <c r="K30" s="9">
        <f>'3. Term Frequency (TF)'!K30 * $B30</f>
        <v/>
      </c>
      <c r="L30" s="9">
        <f>'3. Term Frequency (TF)'!L30 * $B30</f>
        <v/>
      </c>
      <c r="M30" s="9">
        <f>'3. Term Frequency (TF)'!M30 * $B30</f>
        <v/>
      </c>
      <c r="N30" s="9">
        <f>'3. Term Frequency (TF)'!N30 * $B30</f>
        <v/>
      </c>
      <c r="O30" s="9">
        <f>'3. Term Frequency (TF)'!O30 * $B30</f>
        <v/>
      </c>
      <c r="P30" s="9">
        <f>'3. Term Frequency (TF)'!P30 * $B30</f>
        <v/>
      </c>
      <c r="Q30" s="9">
        <f>'3. Term Frequency (TF)'!Q30 * $B30</f>
        <v/>
      </c>
      <c r="R30" s="10" t="n"/>
    </row>
    <row r="31">
      <c r="A31" s="7" t="inlineStr">
        <is>
          <t>digital</t>
        </is>
      </c>
      <c r="B31" s="9">
        <f>LN((15+1)/('3. Term Frequency (TF)'!B31+1))+1</f>
        <v/>
      </c>
      <c r="C31" s="9">
        <f>'3. Term Frequency (TF)'!C31 * $B31</f>
        <v/>
      </c>
      <c r="D31" s="9">
        <f>'3. Term Frequency (TF)'!D31 * $B31</f>
        <v/>
      </c>
      <c r="E31" s="9">
        <f>'3. Term Frequency (TF)'!E31 * $B31</f>
        <v/>
      </c>
      <c r="F31" s="9">
        <f>'3. Term Frequency (TF)'!F31 * $B31</f>
        <v/>
      </c>
      <c r="G31" s="9">
        <f>'3. Term Frequency (TF)'!G31 * $B31</f>
        <v/>
      </c>
      <c r="H31" s="9">
        <f>'3. Term Frequency (TF)'!H31 * $B31</f>
        <v/>
      </c>
      <c r="I31" s="9">
        <f>'3. Term Frequency (TF)'!I31 * $B31</f>
        <v/>
      </c>
      <c r="J31" s="9">
        <f>'3. Term Frequency (TF)'!J31 * $B31</f>
        <v/>
      </c>
      <c r="K31" s="9">
        <f>'3. Term Frequency (TF)'!K31 * $B31</f>
        <v/>
      </c>
      <c r="L31" s="9">
        <f>'3. Term Frequency (TF)'!L31 * $B31</f>
        <v/>
      </c>
      <c r="M31" s="9">
        <f>'3. Term Frequency (TF)'!M31 * $B31</f>
        <v/>
      </c>
      <c r="N31" s="9">
        <f>'3. Term Frequency (TF)'!N31 * $B31</f>
        <v/>
      </c>
      <c r="O31" s="9">
        <f>'3. Term Frequency (TF)'!O31 * $B31</f>
        <v/>
      </c>
      <c r="P31" s="9">
        <f>'3. Term Frequency (TF)'!P31 * $B31</f>
        <v/>
      </c>
      <c r="Q31" s="9">
        <f>'3. Term Frequency (TF)'!Q31 * $B31</f>
        <v/>
      </c>
      <c r="R31" s="10" t="n"/>
    </row>
    <row r="32">
      <c r="A32" s="7" t="inlineStr">
        <is>
          <t>excel</t>
        </is>
      </c>
      <c r="B32" s="9">
        <f>LN((15+1)/('3. Term Frequency (TF)'!B32+1))+1</f>
        <v/>
      </c>
      <c r="C32" s="9">
        <f>'3. Term Frequency (TF)'!C32 * $B32</f>
        <v/>
      </c>
      <c r="D32" s="9">
        <f>'3. Term Frequency (TF)'!D32 * $B32</f>
        <v/>
      </c>
      <c r="E32" s="9">
        <f>'3. Term Frequency (TF)'!E32 * $B32</f>
        <v/>
      </c>
      <c r="F32" s="9">
        <f>'3. Term Frequency (TF)'!F32 * $B32</f>
        <v/>
      </c>
      <c r="G32" s="9">
        <f>'3. Term Frequency (TF)'!G32 * $B32</f>
        <v/>
      </c>
      <c r="H32" s="9">
        <f>'3. Term Frequency (TF)'!H32 * $B32</f>
        <v/>
      </c>
      <c r="I32" s="9">
        <f>'3. Term Frequency (TF)'!I32 * $B32</f>
        <v/>
      </c>
      <c r="J32" s="9">
        <f>'3. Term Frequency (TF)'!J32 * $B32</f>
        <v/>
      </c>
      <c r="K32" s="9">
        <f>'3. Term Frequency (TF)'!K32 * $B32</f>
        <v/>
      </c>
      <c r="L32" s="9">
        <f>'3. Term Frequency (TF)'!L32 * $B32</f>
        <v/>
      </c>
      <c r="M32" s="9">
        <f>'3. Term Frequency (TF)'!M32 * $B32</f>
        <v/>
      </c>
      <c r="N32" s="9">
        <f>'3. Term Frequency (TF)'!N32 * $B32</f>
        <v/>
      </c>
      <c r="O32" s="9">
        <f>'3. Term Frequency (TF)'!O32 * $B32</f>
        <v/>
      </c>
      <c r="P32" s="9">
        <f>'3. Term Frequency (TF)'!P32 * $B32</f>
        <v/>
      </c>
      <c r="Q32" s="9">
        <f>'3. Term Frequency (TF)'!Q32 * $B32</f>
        <v/>
      </c>
      <c r="R32" s="10" t="n"/>
    </row>
    <row r="33">
      <c r="A33" s="7" t="inlineStr">
        <is>
          <t>figma</t>
        </is>
      </c>
      <c r="B33" s="9">
        <f>LN((15+1)/('3. Term Frequency (TF)'!B33+1))+1</f>
        <v/>
      </c>
      <c r="C33" s="9">
        <f>'3. Term Frequency (TF)'!C33 * $B33</f>
        <v/>
      </c>
      <c r="D33" s="9">
        <f>'3. Term Frequency (TF)'!D33 * $B33</f>
        <v/>
      </c>
      <c r="E33" s="9">
        <f>'3. Term Frequency (TF)'!E33 * $B33</f>
        <v/>
      </c>
      <c r="F33" s="9">
        <f>'3. Term Frequency (TF)'!F33 * $B33</f>
        <v/>
      </c>
      <c r="G33" s="9">
        <f>'3. Term Frequency (TF)'!G33 * $B33</f>
        <v/>
      </c>
      <c r="H33" s="9">
        <f>'3. Term Frequency (TF)'!H33 * $B33</f>
        <v/>
      </c>
      <c r="I33" s="9">
        <f>'3. Term Frequency (TF)'!I33 * $B33</f>
        <v/>
      </c>
      <c r="J33" s="9">
        <f>'3. Term Frequency (TF)'!J33 * $B33</f>
        <v/>
      </c>
      <c r="K33" s="9">
        <f>'3. Term Frequency (TF)'!K33 * $B33</f>
        <v/>
      </c>
      <c r="L33" s="9">
        <f>'3. Term Frequency (TF)'!L33 * $B33</f>
        <v/>
      </c>
      <c r="M33" s="9">
        <f>'3. Term Frequency (TF)'!M33 * $B33</f>
        <v/>
      </c>
      <c r="N33" s="9">
        <f>'3. Term Frequency (TF)'!N33 * $B33</f>
        <v/>
      </c>
      <c r="O33" s="9">
        <f>'3. Term Frequency (TF)'!O33 * $B33</f>
        <v/>
      </c>
      <c r="P33" s="9">
        <f>'3. Term Frequency (TF)'!P33 * $B33</f>
        <v/>
      </c>
      <c r="Q33" s="9">
        <f>'3. Term Frequency (TF)'!Q33 * $B33</f>
        <v/>
      </c>
      <c r="R33" s="10" t="n"/>
    </row>
    <row r="34">
      <c r="A34" s="7" t="inlineStr">
        <is>
          <t>finance</t>
        </is>
      </c>
      <c r="B34" s="9">
        <f>LN((15+1)/('3. Term Frequency (TF)'!B34+1))+1</f>
        <v/>
      </c>
      <c r="C34" s="9">
        <f>'3. Term Frequency (TF)'!C34 * $B34</f>
        <v/>
      </c>
      <c r="D34" s="9">
        <f>'3. Term Frequency (TF)'!D34 * $B34</f>
        <v/>
      </c>
      <c r="E34" s="9">
        <f>'3. Term Frequency (TF)'!E34 * $B34</f>
        <v/>
      </c>
      <c r="F34" s="9">
        <f>'3. Term Frequency (TF)'!F34 * $B34</f>
        <v/>
      </c>
      <c r="G34" s="9">
        <f>'3. Term Frequency (TF)'!G34 * $B34</f>
        <v/>
      </c>
      <c r="H34" s="9">
        <f>'3. Term Frequency (TF)'!H34 * $B34</f>
        <v/>
      </c>
      <c r="I34" s="9">
        <f>'3. Term Frequency (TF)'!I34 * $B34</f>
        <v/>
      </c>
      <c r="J34" s="9">
        <f>'3. Term Frequency (TF)'!J34 * $B34</f>
        <v/>
      </c>
      <c r="K34" s="9">
        <f>'3. Term Frequency (TF)'!K34 * $B34</f>
        <v/>
      </c>
      <c r="L34" s="9">
        <f>'3. Term Frequency (TF)'!L34 * $B34</f>
        <v/>
      </c>
      <c r="M34" s="9">
        <f>'3. Term Frequency (TF)'!M34 * $B34</f>
        <v/>
      </c>
      <c r="N34" s="9">
        <f>'3. Term Frequency (TF)'!N34 * $B34</f>
        <v/>
      </c>
      <c r="O34" s="9">
        <f>'3. Term Frequency (TF)'!O34 * $B34</f>
        <v/>
      </c>
      <c r="P34" s="9">
        <f>'3. Term Frequency (TF)'!P34 * $B34</f>
        <v/>
      </c>
      <c r="Q34" s="9">
        <f>'3. Term Frequency (TF)'!Q34 * $B34</f>
        <v/>
      </c>
      <c r="R34" s="10" t="n"/>
    </row>
    <row r="35">
      <c r="A35" s="7" t="inlineStr">
        <is>
          <t>fokus</t>
        </is>
      </c>
      <c r="B35" s="9">
        <f>LN((15+1)/('3. Term Frequency (TF)'!B35+1))+1</f>
        <v/>
      </c>
      <c r="C35" s="9">
        <f>'3. Term Frequency (TF)'!C35 * $B35</f>
        <v/>
      </c>
      <c r="D35" s="9">
        <f>'3. Term Frequency (TF)'!D35 * $B35</f>
        <v/>
      </c>
      <c r="E35" s="9">
        <f>'3. Term Frequency (TF)'!E35 * $B35</f>
        <v/>
      </c>
      <c r="F35" s="9">
        <f>'3. Term Frequency (TF)'!F35 * $B35</f>
        <v/>
      </c>
      <c r="G35" s="9">
        <f>'3. Term Frequency (TF)'!G35 * $B35</f>
        <v/>
      </c>
      <c r="H35" s="9">
        <f>'3. Term Frequency (TF)'!H35 * $B35</f>
        <v/>
      </c>
      <c r="I35" s="9">
        <f>'3. Term Frequency (TF)'!I35 * $B35</f>
        <v/>
      </c>
      <c r="J35" s="9">
        <f>'3. Term Frequency (TF)'!J35 * $B35</f>
        <v/>
      </c>
      <c r="K35" s="9">
        <f>'3. Term Frequency (TF)'!K35 * $B35</f>
        <v/>
      </c>
      <c r="L35" s="9">
        <f>'3. Term Frequency (TF)'!L35 * $B35</f>
        <v/>
      </c>
      <c r="M35" s="9">
        <f>'3. Term Frequency (TF)'!M35 * $B35</f>
        <v/>
      </c>
      <c r="N35" s="9">
        <f>'3. Term Frequency (TF)'!N35 * $B35</f>
        <v/>
      </c>
      <c r="O35" s="9">
        <f>'3. Term Frequency (TF)'!O35 * $B35</f>
        <v/>
      </c>
      <c r="P35" s="9">
        <f>'3. Term Frequency (TF)'!P35 * $B35</f>
        <v/>
      </c>
      <c r="Q35" s="9">
        <f>'3. Term Frequency (TF)'!Q35 * $B35</f>
        <v/>
      </c>
      <c r="R35" s="10" t="n"/>
    </row>
    <row r="36">
      <c r="A36" s="7" t="inlineStr">
        <is>
          <t>framework</t>
        </is>
      </c>
      <c r="B36" s="9">
        <f>LN((15+1)/('3. Term Frequency (TF)'!B36+1))+1</f>
        <v/>
      </c>
      <c r="C36" s="9">
        <f>'3. Term Frequency (TF)'!C36 * $B36</f>
        <v/>
      </c>
      <c r="D36" s="9">
        <f>'3. Term Frequency (TF)'!D36 * $B36</f>
        <v/>
      </c>
      <c r="E36" s="9">
        <f>'3. Term Frequency (TF)'!E36 * $B36</f>
        <v/>
      </c>
      <c r="F36" s="9">
        <f>'3. Term Frequency (TF)'!F36 * $B36</f>
        <v/>
      </c>
      <c r="G36" s="9">
        <f>'3. Term Frequency (TF)'!G36 * $B36</f>
        <v/>
      </c>
      <c r="H36" s="9">
        <f>'3. Term Frequency (TF)'!H36 * $B36</f>
        <v/>
      </c>
      <c r="I36" s="9">
        <f>'3. Term Frequency (TF)'!I36 * $B36</f>
        <v/>
      </c>
      <c r="J36" s="9">
        <f>'3. Term Frequency (TF)'!J36 * $B36</f>
        <v/>
      </c>
      <c r="K36" s="9">
        <f>'3. Term Frequency (TF)'!K36 * $B36</f>
        <v/>
      </c>
      <c r="L36" s="9">
        <f>'3. Term Frequency (TF)'!L36 * $B36</f>
        <v/>
      </c>
      <c r="M36" s="9">
        <f>'3. Term Frequency (TF)'!M36 * $B36</f>
        <v/>
      </c>
      <c r="N36" s="9">
        <f>'3. Term Frequency (TF)'!N36 * $B36</f>
        <v/>
      </c>
      <c r="O36" s="9">
        <f>'3. Term Frequency (TF)'!O36 * $B36</f>
        <v/>
      </c>
      <c r="P36" s="9">
        <f>'3. Term Frequency (TF)'!P36 * $B36</f>
        <v/>
      </c>
      <c r="Q36" s="9">
        <f>'3. Term Frequency (TF)'!Q36 * $B36</f>
        <v/>
      </c>
      <c r="R36" s="10" t="n"/>
    </row>
    <row r="37">
      <c r="A37" s="7" t="inlineStr">
        <is>
          <t>fullstack</t>
        </is>
      </c>
      <c r="B37" s="9">
        <f>LN((15+1)/('3. Term Frequency (TF)'!B37+1))+1</f>
        <v/>
      </c>
      <c r="C37" s="9">
        <f>'3. Term Frequency (TF)'!C37 * $B37</f>
        <v/>
      </c>
      <c r="D37" s="9">
        <f>'3. Term Frequency (TF)'!D37 * $B37</f>
        <v/>
      </c>
      <c r="E37" s="9">
        <f>'3. Term Frequency (TF)'!E37 * $B37</f>
        <v/>
      </c>
      <c r="F37" s="9">
        <f>'3. Term Frequency (TF)'!F37 * $B37</f>
        <v/>
      </c>
      <c r="G37" s="9">
        <f>'3. Term Frequency (TF)'!G37 * $B37</f>
        <v/>
      </c>
      <c r="H37" s="9">
        <f>'3. Term Frequency (TF)'!H37 * $B37</f>
        <v/>
      </c>
      <c r="I37" s="9">
        <f>'3. Term Frequency (TF)'!I37 * $B37</f>
        <v/>
      </c>
      <c r="J37" s="9">
        <f>'3. Term Frequency (TF)'!J37 * $B37</f>
        <v/>
      </c>
      <c r="K37" s="9">
        <f>'3. Term Frequency (TF)'!K37 * $B37</f>
        <v/>
      </c>
      <c r="L37" s="9">
        <f>'3. Term Frequency (TF)'!L37 * $B37</f>
        <v/>
      </c>
      <c r="M37" s="9">
        <f>'3. Term Frequency (TF)'!M37 * $B37</f>
        <v/>
      </c>
      <c r="N37" s="9">
        <f>'3. Term Frequency (TF)'!N37 * $B37</f>
        <v/>
      </c>
      <c r="O37" s="9">
        <f>'3. Term Frequency (TF)'!O37 * $B37</f>
        <v/>
      </c>
      <c r="P37" s="9">
        <f>'3. Term Frequency (TF)'!P37 * $B37</f>
        <v/>
      </c>
      <c r="Q37" s="9">
        <f>'3. Term Frequency (TF)'!Q37 * $B37</f>
        <v/>
      </c>
      <c r="R37" s="10" t="n"/>
    </row>
    <row r="38">
      <c r="A38" s="7" t="inlineStr">
        <is>
          <t>grafis</t>
        </is>
      </c>
      <c r="B38" s="9">
        <f>LN((15+1)/('3. Term Frequency (TF)'!B38+1))+1</f>
        <v/>
      </c>
      <c r="C38" s="9">
        <f>'3. Term Frequency (TF)'!C38 * $B38</f>
        <v/>
      </c>
      <c r="D38" s="9">
        <f>'3. Term Frequency (TF)'!D38 * $B38</f>
        <v/>
      </c>
      <c r="E38" s="9">
        <f>'3. Term Frequency (TF)'!E38 * $B38</f>
        <v/>
      </c>
      <c r="F38" s="9">
        <f>'3. Term Frequency (TF)'!F38 * $B38</f>
        <v/>
      </c>
      <c r="G38" s="9">
        <f>'3. Term Frequency (TF)'!G38 * $B38</f>
        <v/>
      </c>
      <c r="H38" s="9">
        <f>'3. Term Frequency (TF)'!H38 * $B38</f>
        <v/>
      </c>
      <c r="I38" s="9">
        <f>'3. Term Frequency (TF)'!I38 * $B38</f>
        <v/>
      </c>
      <c r="J38" s="9">
        <f>'3. Term Frequency (TF)'!J38 * $B38</f>
        <v/>
      </c>
      <c r="K38" s="9">
        <f>'3. Term Frequency (TF)'!K38 * $B38</f>
        <v/>
      </c>
      <c r="L38" s="9">
        <f>'3. Term Frequency (TF)'!L38 * $B38</f>
        <v/>
      </c>
      <c r="M38" s="9">
        <f>'3. Term Frequency (TF)'!M38 * $B38</f>
        <v/>
      </c>
      <c r="N38" s="9">
        <f>'3. Term Frequency (TF)'!N38 * $B38</f>
        <v/>
      </c>
      <c r="O38" s="9">
        <f>'3. Term Frequency (TF)'!O38 * $B38</f>
        <v/>
      </c>
      <c r="P38" s="9">
        <f>'3. Term Frequency (TF)'!P38 * $B38</f>
        <v/>
      </c>
      <c r="Q38" s="9">
        <f>'3. Term Frequency (TF)'!Q38 * $B38</f>
        <v/>
      </c>
      <c r="R38" s="10" t="n"/>
    </row>
    <row r="39">
      <c r="A39" s="7" t="inlineStr">
        <is>
          <t>graphic</t>
        </is>
      </c>
      <c r="B39" s="9">
        <f>LN((15+1)/('3. Term Frequency (TF)'!B39+1))+1</f>
        <v/>
      </c>
      <c r="C39" s="9">
        <f>'3. Term Frequency (TF)'!C39 * $B39</f>
        <v/>
      </c>
      <c r="D39" s="9">
        <f>'3. Term Frequency (TF)'!D39 * $B39</f>
        <v/>
      </c>
      <c r="E39" s="9">
        <f>'3. Term Frequency (TF)'!E39 * $B39</f>
        <v/>
      </c>
      <c r="F39" s="9">
        <f>'3. Term Frequency (TF)'!F39 * $B39</f>
        <v/>
      </c>
      <c r="G39" s="9">
        <f>'3. Term Frequency (TF)'!G39 * $B39</f>
        <v/>
      </c>
      <c r="H39" s="9">
        <f>'3. Term Frequency (TF)'!H39 * $B39</f>
        <v/>
      </c>
      <c r="I39" s="9">
        <f>'3. Term Frequency (TF)'!I39 * $B39</f>
        <v/>
      </c>
      <c r="J39" s="9">
        <f>'3. Term Frequency (TF)'!J39 * $B39</f>
        <v/>
      </c>
      <c r="K39" s="9">
        <f>'3. Term Frequency (TF)'!K39 * $B39</f>
        <v/>
      </c>
      <c r="L39" s="9">
        <f>'3. Term Frequency (TF)'!L39 * $B39</f>
        <v/>
      </c>
      <c r="M39" s="9">
        <f>'3. Term Frequency (TF)'!M39 * $B39</f>
        <v/>
      </c>
      <c r="N39" s="9">
        <f>'3. Term Frequency (TF)'!N39 * $B39</f>
        <v/>
      </c>
      <c r="O39" s="9">
        <f>'3. Term Frequency (TF)'!O39 * $B39</f>
        <v/>
      </c>
      <c r="P39" s="9">
        <f>'3. Term Frequency (TF)'!P39 * $B39</f>
        <v/>
      </c>
      <c r="Q39" s="9">
        <f>'3. Term Frequency (TF)'!Q39 * $B39</f>
        <v/>
      </c>
      <c r="R39" s="10" t="n"/>
    </row>
    <row r="40">
      <c r="A40" s="7" t="inlineStr">
        <is>
          <t>guna</t>
        </is>
      </c>
      <c r="B40" s="9">
        <f>LN((15+1)/('3. Term Frequency (TF)'!B40+1))+1</f>
        <v/>
      </c>
      <c r="C40" s="9">
        <f>'3. Term Frequency (TF)'!C40 * $B40</f>
        <v/>
      </c>
      <c r="D40" s="9">
        <f>'3. Term Frequency (TF)'!D40 * $B40</f>
        <v/>
      </c>
      <c r="E40" s="9">
        <f>'3. Term Frequency (TF)'!E40 * $B40</f>
        <v/>
      </c>
      <c r="F40" s="9">
        <f>'3. Term Frequency (TF)'!F40 * $B40</f>
        <v/>
      </c>
      <c r="G40" s="9">
        <f>'3. Term Frequency (TF)'!G40 * $B40</f>
        <v/>
      </c>
      <c r="H40" s="9">
        <f>'3. Term Frequency (TF)'!H40 * $B40</f>
        <v/>
      </c>
      <c r="I40" s="9">
        <f>'3. Term Frequency (TF)'!I40 * $B40</f>
        <v/>
      </c>
      <c r="J40" s="9">
        <f>'3. Term Frequency (TF)'!J40 * $B40</f>
        <v/>
      </c>
      <c r="K40" s="9">
        <f>'3. Term Frequency (TF)'!K40 * $B40</f>
        <v/>
      </c>
      <c r="L40" s="9">
        <f>'3. Term Frequency (TF)'!L40 * $B40</f>
        <v/>
      </c>
      <c r="M40" s="9">
        <f>'3. Term Frequency (TF)'!M40 * $B40</f>
        <v/>
      </c>
      <c r="N40" s="9">
        <f>'3. Term Frequency (TF)'!N40 * $B40</f>
        <v/>
      </c>
      <c r="O40" s="9">
        <f>'3. Term Frequency (TF)'!O40 * $B40</f>
        <v/>
      </c>
      <c r="P40" s="9">
        <f>'3. Term Frequency (TF)'!P40 * $B40</f>
        <v/>
      </c>
      <c r="Q40" s="9">
        <f>'3. Term Frequency (TF)'!Q40 * $B40</f>
        <v/>
      </c>
      <c r="R40" s="10" t="n"/>
    </row>
    <row r="41">
      <c r="A41" s="7" t="inlineStr">
        <is>
          <t>illustrator</t>
        </is>
      </c>
      <c r="B41" s="9">
        <f>LN((15+1)/('3. Term Frequency (TF)'!B41+1))+1</f>
        <v/>
      </c>
      <c r="C41" s="9">
        <f>'3. Term Frequency (TF)'!C41 * $B41</f>
        <v/>
      </c>
      <c r="D41" s="9">
        <f>'3. Term Frequency (TF)'!D41 * $B41</f>
        <v/>
      </c>
      <c r="E41" s="9">
        <f>'3. Term Frequency (TF)'!E41 * $B41</f>
        <v/>
      </c>
      <c r="F41" s="9">
        <f>'3. Term Frequency (TF)'!F41 * $B41</f>
        <v/>
      </c>
      <c r="G41" s="9">
        <f>'3. Term Frequency (TF)'!G41 * $B41</f>
        <v/>
      </c>
      <c r="H41" s="9">
        <f>'3. Term Frequency (TF)'!H41 * $B41</f>
        <v/>
      </c>
      <c r="I41" s="9">
        <f>'3. Term Frequency (TF)'!I41 * $B41</f>
        <v/>
      </c>
      <c r="J41" s="9">
        <f>'3. Term Frequency (TF)'!J41 * $B41</f>
        <v/>
      </c>
      <c r="K41" s="9">
        <f>'3. Term Frequency (TF)'!K41 * $B41</f>
        <v/>
      </c>
      <c r="L41" s="9">
        <f>'3. Term Frequency (TF)'!L41 * $B41</f>
        <v/>
      </c>
      <c r="M41" s="9">
        <f>'3. Term Frequency (TF)'!M41 * $B41</f>
        <v/>
      </c>
      <c r="N41" s="9">
        <f>'3. Term Frequency (TF)'!N41 * $B41</f>
        <v/>
      </c>
      <c r="O41" s="9">
        <f>'3. Term Frequency (TF)'!O41 * $B41</f>
        <v/>
      </c>
      <c r="P41" s="9">
        <f>'3. Term Frequency (TF)'!P41 * $B41</f>
        <v/>
      </c>
      <c r="Q41" s="9">
        <f>'3. Term Frequency (TF)'!Q41 * $B41</f>
        <v/>
      </c>
      <c r="R41" s="10" t="n"/>
    </row>
    <row r="42">
      <c r="A42" s="7" t="inlineStr">
        <is>
          <t>input</t>
        </is>
      </c>
      <c r="B42" s="9">
        <f>LN((15+1)/('3. Term Frequency (TF)'!B42+1))+1</f>
        <v/>
      </c>
      <c r="C42" s="9">
        <f>'3. Term Frequency (TF)'!C42 * $B42</f>
        <v/>
      </c>
      <c r="D42" s="9">
        <f>'3. Term Frequency (TF)'!D42 * $B42</f>
        <v/>
      </c>
      <c r="E42" s="9">
        <f>'3. Term Frequency (TF)'!E42 * $B42</f>
        <v/>
      </c>
      <c r="F42" s="9">
        <f>'3. Term Frequency (TF)'!F42 * $B42</f>
        <v/>
      </c>
      <c r="G42" s="9">
        <f>'3. Term Frequency (TF)'!G42 * $B42</f>
        <v/>
      </c>
      <c r="H42" s="9">
        <f>'3. Term Frequency (TF)'!H42 * $B42</f>
        <v/>
      </c>
      <c r="I42" s="9">
        <f>'3. Term Frequency (TF)'!I42 * $B42</f>
        <v/>
      </c>
      <c r="J42" s="9">
        <f>'3. Term Frequency (TF)'!J42 * $B42</f>
        <v/>
      </c>
      <c r="K42" s="9">
        <f>'3. Term Frequency (TF)'!K42 * $B42</f>
        <v/>
      </c>
      <c r="L42" s="9">
        <f>'3. Term Frequency (TF)'!L42 * $B42</f>
        <v/>
      </c>
      <c r="M42" s="9">
        <f>'3. Term Frequency (TF)'!M42 * $B42</f>
        <v/>
      </c>
      <c r="N42" s="9">
        <f>'3. Term Frequency (TF)'!N42 * $B42</f>
        <v/>
      </c>
      <c r="O42" s="9">
        <f>'3. Term Frequency (TF)'!O42 * $B42</f>
        <v/>
      </c>
      <c r="P42" s="9">
        <f>'3. Term Frequency (TF)'!P42 * $B42</f>
        <v/>
      </c>
      <c r="Q42" s="9">
        <f>'3. Term Frequency (TF)'!Q42 * $B42</f>
        <v/>
      </c>
      <c r="R42" s="10" t="n"/>
    </row>
    <row r="43">
      <c r="A43" s="7" t="inlineStr">
        <is>
          <t>internal</t>
        </is>
      </c>
      <c r="B43" s="9">
        <f>LN((15+1)/('3. Term Frequency (TF)'!B43+1))+1</f>
        <v/>
      </c>
      <c r="C43" s="9">
        <f>'3. Term Frequency (TF)'!C43 * $B43</f>
        <v/>
      </c>
      <c r="D43" s="9">
        <f>'3. Term Frequency (TF)'!D43 * $B43</f>
        <v/>
      </c>
      <c r="E43" s="9">
        <f>'3. Term Frequency (TF)'!E43 * $B43</f>
        <v/>
      </c>
      <c r="F43" s="9">
        <f>'3. Term Frequency (TF)'!F43 * $B43</f>
        <v/>
      </c>
      <c r="G43" s="9">
        <f>'3. Term Frequency (TF)'!G43 * $B43</f>
        <v/>
      </c>
      <c r="H43" s="9">
        <f>'3. Term Frequency (TF)'!H43 * $B43</f>
        <v/>
      </c>
      <c r="I43" s="9">
        <f>'3. Term Frequency (TF)'!I43 * $B43</f>
        <v/>
      </c>
      <c r="J43" s="9">
        <f>'3. Term Frequency (TF)'!J43 * $B43</f>
        <v/>
      </c>
      <c r="K43" s="9">
        <f>'3. Term Frequency (TF)'!K43 * $B43</f>
        <v/>
      </c>
      <c r="L43" s="9">
        <f>'3. Term Frequency (TF)'!L43 * $B43</f>
        <v/>
      </c>
      <c r="M43" s="9">
        <f>'3. Term Frequency (TF)'!M43 * $B43</f>
        <v/>
      </c>
      <c r="N43" s="9">
        <f>'3. Term Frequency (TF)'!N43 * $B43</f>
        <v/>
      </c>
      <c r="O43" s="9">
        <f>'3. Term Frequency (TF)'!O43 * $B43</f>
        <v/>
      </c>
      <c r="P43" s="9">
        <f>'3. Term Frequency (TF)'!P43 * $B43</f>
        <v/>
      </c>
      <c r="Q43" s="9">
        <f>'3. Term Frequency (TF)'!Q43 * $B43</f>
        <v/>
      </c>
      <c r="R43" s="10" t="n"/>
    </row>
    <row r="44">
      <c r="A44" s="7" t="inlineStr">
        <is>
          <t>kantor</t>
        </is>
      </c>
      <c r="B44" s="9">
        <f>LN((15+1)/('3. Term Frequency (TF)'!B44+1))+1</f>
        <v/>
      </c>
      <c r="C44" s="9">
        <f>'3. Term Frequency (TF)'!C44 * $B44</f>
        <v/>
      </c>
      <c r="D44" s="9">
        <f>'3. Term Frequency (TF)'!D44 * $B44</f>
        <v/>
      </c>
      <c r="E44" s="9">
        <f>'3. Term Frequency (TF)'!E44 * $B44</f>
        <v/>
      </c>
      <c r="F44" s="9">
        <f>'3. Term Frequency (TF)'!F44 * $B44</f>
        <v/>
      </c>
      <c r="G44" s="9">
        <f>'3. Term Frequency (TF)'!G44 * $B44</f>
        <v/>
      </c>
      <c r="H44" s="9">
        <f>'3. Term Frequency (TF)'!H44 * $B44</f>
        <v/>
      </c>
      <c r="I44" s="9">
        <f>'3. Term Frequency (TF)'!I44 * $B44</f>
        <v/>
      </c>
      <c r="J44" s="9">
        <f>'3. Term Frequency (TF)'!J44 * $B44</f>
        <v/>
      </c>
      <c r="K44" s="9">
        <f>'3. Term Frequency (TF)'!K44 * $B44</f>
        <v/>
      </c>
      <c r="L44" s="9">
        <f>'3. Term Frequency (TF)'!L44 * $B44</f>
        <v/>
      </c>
      <c r="M44" s="9">
        <f>'3. Term Frequency (TF)'!M44 * $B44</f>
        <v/>
      </c>
      <c r="N44" s="9">
        <f>'3. Term Frequency (TF)'!N44 * $B44</f>
        <v/>
      </c>
      <c r="O44" s="9">
        <f>'3. Term Frequency (TF)'!O44 * $B44</f>
        <v/>
      </c>
      <c r="P44" s="9">
        <f>'3. Term Frequency (TF)'!P44 * $B44</f>
        <v/>
      </c>
      <c r="Q44" s="9">
        <f>'3. Term Frequency (TF)'!Q44 * $B44</f>
        <v/>
      </c>
      <c r="R44" s="10" t="n"/>
    </row>
    <row r="45">
      <c r="A45" s="7" t="inlineStr">
        <is>
          <t>kelola</t>
        </is>
      </c>
      <c r="B45" s="9">
        <f>LN((15+1)/('3. Term Frequency (TF)'!B45+1))+1</f>
        <v/>
      </c>
      <c r="C45" s="9">
        <f>'3. Term Frequency (TF)'!C45 * $B45</f>
        <v/>
      </c>
      <c r="D45" s="9">
        <f>'3. Term Frequency (TF)'!D45 * $B45</f>
        <v/>
      </c>
      <c r="E45" s="9">
        <f>'3. Term Frequency (TF)'!E45 * $B45</f>
        <v/>
      </c>
      <c r="F45" s="9">
        <f>'3. Term Frequency (TF)'!F45 * $B45</f>
        <v/>
      </c>
      <c r="G45" s="9">
        <f>'3. Term Frequency (TF)'!G45 * $B45</f>
        <v/>
      </c>
      <c r="H45" s="9">
        <f>'3. Term Frequency (TF)'!H45 * $B45</f>
        <v/>
      </c>
      <c r="I45" s="9">
        <f>'3. Term Frequency (TF)'!I45 * $B45</f>
        <v/>
      </c>
      <c r="J45" s="9">
        <f>'3. Term Frequency (TF)'!J45 * $B45</f>
        <v/>
      </c>
      <c r="K45" s="9">
        <f>'3. Term Frequency (TF)'!K45 * $B45</f>
        <v/>
      </c>
      <c r="L45" s="9">
        <f>'3. Term Frequency (TF)'!L45 * $B45</f>
        <v/>
      </c>
      <c r="M45" s="9">
        <f>'3. Term Frequency (TF)'!M45 * $B45</f>
        <v/>
      </c>
      <c r="N45" s="9">
        <f>'3. Term Frequency (TF)'!N45 * $B45</f>
        <v/>
      </c>
      <c r="O45" s="9">
        <f>'3. Term Frequency (TF)'!O45 * $B45</f>
        <v/>
      </c>
      <c r="P45" s="9">
        <f>'3. Term Frequency (TF)'!P45 * $B45</f>
        <v/>
      </c>
      <c r="Q45" s="9">
        <f>'3. Term Frequency (TF)'!Q45 * $B45</f>
        <v/>
      </c>
      <c r="R45" s="10" t="n"/>
    </row>
    <row r="46">
      <c r="A46" s="7" t="inlineStr">
        <is>
          <t>kreatif</t>
        </is>
      </c>
      <c r="B46" s="9">
        <f>LN((15+1)/('3. Term Frequency (TF)'!B46+1))+1</f>
        <v/>
      </c>
      <c r="C46" s="9">
        <f>'3. Term Frequency (TF)'!C46 * $B46</f>
        <v/>
      </c>
      <c r="D46" s="9">
        <f>'3. Term Frequency (TF)'!D46 * $B46</f>
        <v/>
      </c>
      <c r="E46" s="9">
        <f>'3. Term Frequency (TF)'!E46 * $B46</f>
        <v/>
      </c>
      <c r="F46" s="9">
        <f>'3. Term Frequency (TF)'!F46 * $B46</f>
        <v/>
      </c>
      <c r="G46" s="9">
        <f>'3. Term Frequency (TF)'!G46 * $B46</f>
        <v/>
      </c>
      <c r="H46" s="9">
        <f>'3. Term Frequency (TF)'!H46 * $B46</f>
        <v/>
      </c>
      <c r="I46" s="9">
        <f>'3. Term Frequency (TF)'!I46 * $B46</f>
        <v/>
      </c>
      <c r="J46" s="9">
        <f>'3. Term Frequency (TF)'!J46 * $B46</f>
        <v/>
      </c>
      <c r="K46" s="9">
        <f>'3. Term Frequency (TF)'!K46 * $B46</f>
        <v/>
      </c>
      <c r="L46" s="9">
        <f>'3. Term Frequency (TF)'!L46 * $B46</f>
        <v/>
      </c>
      <c r="M46" s="9">
        <f>'3. Term Frequency (TF)'!M46 * $B46</f>
        <v/>
      </c>
      <c r="N46" s="9">
        <f>'3. Term Frequency (TF)'!N46 * $B46</f>
        <v/>
      </c>
      <c r="O46" s="9">
        <f>'3. Term Frequency (TF)'!O46 * $B46</f>
        <v/>
      </c>
      <c r="P46" s="9">
        <f>'3. Term Frequency (TF)'!P46 * $B46</f>
        <v/>
      </c>
      <c r="Q46" s="9">
        <f>'3. Term Frequency (TF)'!Q46 * $B46</f>
        <v/>
      </c>
      <c r="R46" s="10" t="n"/>
    </row>
    <row r="47">
      <c r="A47" s="7" t="inlineStr">
        <is>
          <t>kuasa</t>
        </is>
      </c>
      <c r="B47" s="9">
        <f>LN((15+1)/('3. Term Frequency (TF)'!B47+1))+1</f>
        <v/>
      </c>
      <c r="C47" s="9">
        <f>'3. Term Frequency (TF)'!C47 * $B47</f>
        <v/>
      </c>
      <c r="D47" s="9">
        <f>'3. Term Frequency (TF)'!D47 * $B47</f>
        <v/>
      </c>
      <c r="E47" s="9">
        <f>'3. Term Frequency (TF)'!E47 * $B47</f>
        <v/>
      </c>
      <c r="F47" s="9">
        <f>'3. Term Frequency (TF)'!F47 * $B47</f>
        <v/>
      </c>
      <c r="G47" s="9">
        <f>'3. Term Frequency (TF)'!G47 * $B47</f>
        <v/>
      </c>
      <c r="H47" s="9">
        <f>'3. Term Frequency (TF)'!H47 * $B47</f>
        <v/>
      </c>
      <c r="I47" s="9">
        <f>'3. Term Frequency (TF)'!I47 * $B47</f>
        <v/>
      </c>
      <c r="J47" s="9">
        <f>'3. Term Frequency (TF)'!J47 * $B47</f>
        <v/>
      </c>
      <c r="K47" s="9">
        <f>'3. Term Frequency (TF)'!K47 * $B47</f>
        <v/>
      </c>
      <c r="L47" s="9">
        <f>'3. Term Frequency (TF)'!L47 * $B47</f>
        <v/>
      </c>
      <c r="M47" s="9">
        <f>'3. Term Frequency (TF)'!M47 * $B47</f>
        <v/>
      </c>
      <c r="N47" s="9">
        <f>'3. Term Frequency (TF)'!N47 * $B47</f>
        <v/>
      </c>
      <c r="O47" s="9">
        <f>'3. Term Frequency (TF)'!O47 * $B47</f>
        <v/>
      </c>
      <c r="P47" s="9">
        <f>'3. Term Frequency (TF)'!P47 * $B47</f>
        <v/>
      </c>
      <c r="Q47" s="9">
        <f>'3. Term Frequency (TF)'!Q47 * $B47</f>
        <v/>
      </c>
      <c r="R47" s="10" t="n"/>
    </row>
    <row r="48">
      <c r="A48" s="7" t="inlineStr">
        <is>
          <t>laku</t>
        </is>
      </c>
      <c r="B48" s="9">
        <f>LN((15+1)/('3. Term Frequency (TF)'!B48+1))+1</f>
        <v/>
      </c>
      <c r="C48" s="9">
        <f>'3. Term Frequency (TF)'!C48 * $B48</f>
        <v/>
      </c>
      <c r="D48" s="9">
        <f>'3. Term Frequency (TF)'!D48 * $B48</f>
        <v/>
      </c>
      <c r="E48" s="9">
        <f>'3. Term Frequency (TF)'!E48 * $B48</f>
        <v/>
      </c>
      <c r="F48" s="9">
        <f>'3. Term Frequency (TF)'!F48 * $B48</f>
        <v/>
      </c>
      <c r="G48" s="9">
        <f>'3. Term Frequency (TF)'!G48 * $B48</f>
        <v/>
      </c>
      <c r="H48" s="9">
        <f>'3. Term Frequency (TF)'!H48 * $B48</f>
        <v/>
      </c>
      <c r="I48" s="9">
        <f>'3. Term Frequency (TF)'!I48 * $B48</f>
        <v/>
      </c>
      <c r="J48" s="9">
        <f>'3. Term Frequency (TF)'!J48 * $B48</f>
        <v/>
      </c>
      <c r="K48" s="9">
        <f>'3. Term Frequency (TF)'!K48 * $B48</f>
        <v/>
      </c>
      <c r="L48" s="9">
        <f>'3. Term Frequency (TF)'!L48 * $B48</f>
        <v/>
      </c>
      <c r="M48" s="9">
        <f>'3. Term Frequency (TF)'!M48 * $B48</f>
        <v/>
      </c>
      <c r="N48" s="9">
        <f>'3. Term Frequency (TF)'!N48 * $B48</f>
        <v/>
      </c>
      <c r="O48" s="9">
        <f>'3. Term Frequency (TF)'!O48 * $B48</f>
        <v/>
      </c>
      <c r="P48" s="9">
        <f>'3. Term Frequency (TF)'!P48 * $B48</f>
        <v/>
      </c>
      <c r="Q48" s="9">
        <f>'3. Term Frequency (TF)'!Q48 * $B48</f>
        <v/>
      </c>
      <c r="R48" s="10" t="n"/>
    </row>
    <row r="49">
      <c r="A49" s="7" t="inlineStr">
        <is>
          <t>lanjut</t>
        </is>
      </c>
      <c r="B49" s="9">
        <f>LN((15+1)/('3. Term Frequency (TF)'!B49+1))+1</f>
        <v/>
      </c>
      <c r="C49" s="9">
        <f>'3. Term Frequency (TF)'!C49 * $B49</f>
        <v/>
      </c>
      <c r="D49" s="9">
        <f>'3. Term Frequency (TF)'!D49 * $B49</f>
        <v/>
      </c>
      <c r="E49" s="9">
        <f>'3. Term Frequency (TF)'!E49 * $B49</f>
        <v/>
      </c>
      <c r="F49" s="9">
        <f>'3. Term Frequency (TF)'!F49 * $B49</f>
        <v/>
      </c>
      <c r="G49" s="9">
        <f>'3. Term Frequency (TF)'!G49 * $B49</f>
        <v/>
      </c>
      <c r="H49" s="9">
        <f>'3. Term Frequency (TF)'!H49 * $B49</f>
        <v/>
      </c>
      <c r="I49" s="9">
        <f>'3. Term Frequency (TF)'!I49 * $B49</f>
        <v/>
      </c>
      <c r="J49" s="9">
        <f>'3. Term Frequency (TF)'!J49 * $B49</f>
        <v/>
      </c>
      <c r="K49" s="9">
        <f>'3. Term Frequency (TF)'!K49 * $B49</f>
        <v/>
      </c>
      <c r="L49" s="9">
        <f>'3. Term Frequency (TF)'!L49 * $B49</f>
        <v/>
      </c>
      <c r="M49" s="9">
        <f>'3. Term Frequency (TF)'!M49 * $B49</f>
        <v/>
      </c>
      <c r="N49" s="9">
        <f>'3. Term Frequency (TF)'!N49 * $B49</f>
        <v/>
      </c>
      <c r="O49" s="9">
        <f>'3. Term Frequency (TF)'!O49 * $B49</f>
        <v/>
      </c>
      <c r="P49" s="9">
        <f>'3. Term Frequency (TF)'!P49 * $B49</f>
        <v/>
      </c>
      <c r="Q49" s="9">
        <f>'3. Term Frequency (TF)'!Q49 * $B49</f>
        <v/>
      </c>
      <c r="R49" s="10" t="n"/>
    </row>
    <row r="50">
      <c r="A50" s="7" t="inlineStr">
        <is>
          <t>lapor</t>
        </is>
      </c>
      <c r="B50" s="9">
        <f>LN((15+1)/('3. Term Frequency (TF)'!B50+1))+1</f>
        <v/>
      </c>
      <c r="C50" s="9">
        <f>'3. Term Frequency (TF)'!C50 * $B50</f>
        <v/>
      </c>
      <c r="D50" s="9">
        <f>'3. Term Frequency (TF)'!D50 * $B50</f>
        <v/>
      </c>
      <c r="E50" s="9">
        <f>'3. Term Frequency (TF)'!E50 * $B50</f>
        <v/>
      </c>
      <c r="F50" s="9">
        <f>'3. Term Frequency (TF)'!F50 * $B50</f>
        <v/>
      </c>
      <c r="G50" s="9">
        <f>'3. Term Frequency (TF)'!G50 * $B50</f>
        <v/>
      </c>
      <c r="H50" s="9">
        <f>'3. Term Frequency (TF)'!H50 * $B50</f>
        <v/>
      </c>
      <c r="I50" s="9">
        <f>'3. Term Frequency (TF)'!I50 * $B50</f>
        <v/>
      </c>
      <c r="J50" s="9">
        <f>'3. Term Frequency (TF)'!J50 * $B50</f>
        <v/>
      </c>
      <c r="K50" s="9">
        <f>'3. Term Frequency (TF)'!K50 * $B50</f>
        <v/>
      </c>
      <c r="L50" s="9">
        <f>'3. Term Frequency (TF)'!L50 * $B50</f>
        <v/>
      </c>
      <c r="M50" s="9">
        <f>'3. Term Frequency (TF)'!M50 * $B50</f>
        <v/>
      </c>
      <c r="N50" s="9">
        <f>'3. Term Frequency (TF)'!N50 * $B50</f>
        <v/>
      </c>
      <c r="O50" s="9">
        <f>'3. Term Frequency (TF)'!O50 * $B50</f>
        <v/>
      </c>
      <c r="P50" s="9">
        <f>'3. Term Frequency (TF)'!P50 * $B50</f>
        <v/>
      </c>
      <c r="Q50" s="9">
        <f>'3. Term Frequency (TF)'!Q50 * $B50</f>
        <v/>
      </c>
      <c r="R50" s="10" t="n"/>
    </row>
    <row r="51">
      <c r="A51" s="7" t="inlineStr">
        <is>
          <t>laravel</t>
        </is>
      </c>
      <c r="B51" s="9">
        <f>LN((15+1)/('3. Term Frequency (TF)'!B51+1))+1</f>
        <v/>
      </c>
      <c r="C51" s="9">
        <f>'3. Term Frequency (TF)'!C51 * $B51</f>
        <v/>
      </c>
      <c r="D51" s="9">
        <f>'3. Term Frequency (TF)'!D51 * $B51</f>
        <v/>
      </c>
      <c r="E51" s="9">
        <f>'3. Term Frequency (TF)'!E51 * $B51</f>
        <v/>
      </c>
      <c r="F51" s="9">
        <f>'3. Term Frequency (TF)'!F51 * $B51</f>
        <v/>
      </c>
      <c r="G51" s="9">
        <f>'3. Term Frequency (TF)'!G51 * $B51</f>
        <v/>
      </c>
      <c r="H51" s="9">
        <f>'3. Term Frequency (TF)'!H51 * $B51</f>
        <v/>
      </c>
      <c r="I51" s="9">
        <f>'3. Term Frequency (TF)'!I51 * $B51</f>
        <v/>
      </c>
      <c r="J51" s="9">
        <f>'3. Term Frequency (TF)'!J51 * $B51</f>
        <v/>
      </c>
      <c r="K51" s="9">
        <f>'3. Term Frequency (TF)'!K51 * $B51</f>
        <v/>
      </c>
      <c r="L51" s="9">
        <f>'3. Term Frequency (TF)'!L51 * $B51</f>
        <v/>
      </c>
      <c r="M51" s="9">
        <f>'3. Term Frequency (TF)'!M51 * $B51</f>
        <v/>
      </c>
      <c r="N51" s="9">
        <f>'3. Term Frequency (TF)'!N51 * $B51</f>
        <v/>
      </c>
      <c r="O51" s="9">
        <f>'3. Term Frequency (TF)'!O51 * $B51</f>
        <v/>
      </c>
      <c r="P51" s="9">
        <f>'3. Term Frequency (TF)'!P51 * $B51</f>
        <v/>
      </c>
      <c r="Q51" s="9">
        <f>'3. Term Frequency (TF)'!Q51 * $B51</f>
        <v/>
      </c>
      <c r="R51" s="10" t="n"/>
    </row>
    <row r="52">
      <c r="A52" s="7" t="inlineStr">
        <is>
          <t>learning</t>
        </is>
      </c>
      <c r="B52" s="9">
        <f>LN((15+1)/('3. Term Frequency (TF)'!B52+1))+1</f>
        <v/>
      </c>
      <c r="C52" s="9">
        <f>'3. Term Frequency (TF)'!C52 * $B52</f>
        <v/>
      </c>
      <c r="D52" s="9">
        <f>'3. Term Frequency (TF)'!D52 * $B52</f>
        <v/>
      </c>
      <c r="E52" s="9">
        <f>'3. Term Frequency (TF)'!E52 * $B52</f>
        <v/>
      </c>
      <c r="F52" s="9">
        <f>'3. Term Frequency (TF)'!F52 * $B52</f>
        <v/>
      </c>
      <c r="G52" s="9">
        <f>'3. Term Frequency (TF)'!G52 * $B52</f>
        <v/>
      </c>
      <c r="H52" s="9">
        <f>'3. Term Frequency (TF)'!H52 * $B52</f>
        <v/>
      </c>
      <c r="I52" s="9">
        <f>'3. Term Frequency (TF)'!I52 * $B52</f>
        <v/>
      </c>
      <c r="J52" s="9">
        <f>'3. Term Frequency (TF)'!J52 * $B52</f>
        <v/>
      </c>
      <c r="K52" s="9">
        <f>'3. Term Frequency (TF)'!K52 * $B52</f>
        <v/>
      </c>
      <c r="L52" s="9">
        <f>'3. Term Frequency (TF)'!L52 * $B52</f>
        <v/>
      </c>
      <c r="M52" s="9">
        <f>'3. Term Frequency (TF)'!M52 * $B52</f>
        <v/>
      </c>
      <c r="N52" s="9">
        <f>'3. Term Frequency (TF)'!N52 * $B52</f>
        <v/>
      </c>
      <c r="O52" s="9">
        <f>'3. Term Frequency (TF)'!O52 * $B52</f>
        <v/>
      </c>
      <c r="P52" s="9">
        <f>'3. Term Frequency (TF)'!P52 * $B52</f>
        <v/>
      </c>
      <c r="Q52" s="9">
        <f>'3. Term Frequency (TF)'!Q52 * $B52</f>
        <v/>
      </c>
      <c r="R52" s="10" t="n"/>
    </row>
    <row r="53">
      <c r="A53" s="7" t="inlineStr">
        <is>
          <t>logistik</t>
        </is>
      </c>
      <c r="B53" s="9">
        <f>LN((15+1)/('3. Term Frequency (TF)'!B53+1))+1</f>
        <v/>
      </c>
      <c r="C53" s="9">
        <f>'3. Term Frequency (TF)'!C53 * $B53</f>
        <v/>
      </c>
      <c r="D53" s="9">
        <f>'3. Term Frequency (TF)'!D53 * $B53</f>
        <v/>
      </c>
      <c r="E53" s="9">
        <f>'3. Term Frequency (TF)'!E53 * $B53</f>
        <v/>
      </c>
      <c r="F53" s="9">
        <f>'3. Term Frequency (TF)'!F53 * $B53</f>
        <v/>
      </c>
      <c r="G53" s="9">
        <f>'3. Term Frequency (TF)'!G53 * $B53</f>
        <v/>
      </c>
      <c r="H53" s="9">
        <f>'3. Term Frequency (TF)'!H53 * $B53</f>
        <v/>
      </c>
      <c r="I53" s="9">
        <f>'3. Term Frequency (TF)'!I53 * $B53</f>
        <v/>
      </c>
      <c r="J53" s="9">
        <f>'3. Term Frequency (TF)'!J53 * $B53</f>
        <v/>
      </c>
      <c r="K53" s="9">
        <f>'3. Term Frequency (TF)'!K53 * $B53</f>
        <v/>
      </c>
      <c r="L53" s="9">
        <f>'3. Term Frequency (TF)'!L53 * $B53</f>
        <v/>
      </c>
      <c r="M53" s="9">
        <f>'3. Term Frequency (TF)'!M53 * $B53</f>
        <v/>
      </c>
      <c r="N53" s="9">
        <f>'3. Term Frequency (TF)'!N53 * $B53</f>
        <v/>
      </c>
      <c r="O53" s="9">
        <f>'3. Term Frequency (TF)'!O53 * $B53</f>
        <v/>
      </c>
      <c r="P53" s="9">
        <f>'3. Term Frequency (TF)'!P53 * $B53</f>
        <v/>
      </c>
      <c r="Q53" s="9">
        <f>'3. Term Frequency (TF)'!Q53 * $B53</f>
        <v/>
      </c>
      <c r="R53" s="10" t="n"/>
    </row>
    <row r="54">
      <c r="A54" s="7" t="inlineStr">
        <is>
          <t>luas</t>
        </is>
      </c>
      <c r="B54" s="9">
        <f>LN((15+1)/('3. Term Frequency (TF)'!B54+1))+1</f>
        <v/>
      </c>
      <c r="C54" s="9">
        <f>'3. Term Frequency (TF)'!C54 * $B54</f>
        <v/>
      </c>
      <c r="D54" s="9">
        <f>'3. Term Frequency (TF)'!D54 * $B54</f>
        <v/>
      </c>
      <c r="E54" s="9">
        <f>'3. Term Frequency (TF)'!E54 * $B54</f>
        <v/>
      </c>
      <c r="F54" s="9">
        <f>'3. Term Frequency (TF)'!F54 * $B54</f>
        <v/>
      </c>
      <c r="G54" s="9">
        <f>'3. Term Frequency (TF)'!G54 * $B54</f>
        <v/>
      </c>
      <c r="H54" s="9">
        <f>'3. Term Frequency (TF)'!H54 * $B54</f>
        <v/>
      </c>
      <c r="I54" s="9">
        <f>'3. Term Frequency (TF)'!I54 * $B54</f>
        <v/>
      </c>
      <c r="J54" s="9">
        <f>'3. Term Frequency (TF)'!J54 * $B54</f>
        <v/>
      </c>
      <c r="K54" s="9">
        <f>'3. Term Frequency (TF)'!K54 * $B54</f>
        <v/>
      </c>
      <c r="L54" s="9">
        <f>'3. Term Frequency (TF)'!L54 * $B54</f>
        <v/>
      </c>
      <c r="M54" s="9">
        <f>'3. Term Frequency (TF)'!M54 * $B54</f>
        <v/>
      </c>
      <c r="N54" s="9">
        <f>'3. Term Frequency (TF)'!N54 * $B54</f>
        <v/>
      </c>
      <c r="O54" s="9">
        <f>'3. Term Frequency (TF)'!O54 * $B54</f>
        <v/>
      </c>
      <c r="P54" s="9">
        <f>'3. Term Frequency (TF)'!P54 * $B54</f>
        <v/>
      </c>
      <c r="Q54" s="9">
        <f>'3. Term Frequency (TF)'!Q54 * $B54</f>
        <v/>
      </c>
      <c r="R54" s="10" t="n"/>
    </row>
    <row r="55">
      <c r="A55" s="7" t="inlineStr">
        <is>
          <t>lulus</t>
        </is>
      </c>
      <c r="B55" s="9">
        <f>LN((15+1)/('3. Term Frequency (TF)'!B55+1))+1</f>
        <v/>
      </c>
      <c r="C55" s="9">
        <f>'3. Term Frequency (TF)'!C55 * $B55</f>
        <v/>
      </c>
      <c r="D55" s="9">
        <f>'3. Term Frequency (TF)'!D55 * $B55</f>
        <v/>
      </c>
      <c r="E55" s="9">
        <f>'3. Term Frequency (TF)'!E55 * $B55</f>
        <v/>
      </c>
      <c r="F55" s="9">
        <f>'3. Term Frequency (TF)'!F55 * $B55</f>
        <v/>
      </c>
      <c r="G55" s="9">
        <f>'3. Term Frequency (TF)'!G55 * $B55</f>
        <v/>
      </c>
      <c r="H55" s="9">
        <f>'3. Term Frequency (TF)'!H55 * $B55</f>
        <v/>
      </c>
      <c r="I55" s="9">
        <f>'3. Term Frequency (TF)'!I55 * $B55</f>
        <v/>
      </c>
      <c r="J55" s="9">
        <f>'3. Term Frequency (TF)'!J55 * $B55</f>
        <v/>
      </c>
      <c r="K55" s="9">
        <f>'3. Term Frequency (TF)'!K55 * $B55</f>
        <v/>
      </c>
      <c r="L55" s="9">
        <f>'3. Term Frequency (TF)'!L55 * $B55</f>
        <v/>
      </c>
      <c r="M55" s="9">
        <f>'3. Term Frequency (TF)'!M55 * $B55</f>
        <v/>
      </c>
      <c r="N55" s="9">
        <f>'3. Term Frequency (TF)'!N55 * $B55</f>
        <v/>
      </c>
      <c r="O55" s="9">
        <f>'3. Term Frequency (TF)'!O55 * $B55</f>
        <v/>
      </c>
      <c r="P55" s="9">
        <f>'3. Term Frequency (TF)'!P55 * $B55</f>
        <v/>
      </c>
      <c r="Q55" s="9">
        <f>'3. Term Frequency (TF)'!Q55 * $B55</f>
        <v/>
      </c>
      <c r="R55" s="10" t="n"/>
    </row>
    <row r="56">
      <c r="A56" s="7" t="inlineStr">
        <is>
          <t>machine</t>
        </is>
      </c>
      <c r="B56" s="9">
        <f>LN((15+1)/('3. Term Frequency (TF)'!B56+1))+1</f>
        <v/>
      </c>
      <c r="C56" s="9">
        <f>'3. Term Frequency (TF)'!C56 * $B56</f>
        <v/>
      </c>
      <c r="D56" s="9">
        <f>'3. Term Frequency (TF)'!D56 * $B56</f>
        <v/>
      </c>
      <c r="E56" s="9">
        <f>'3. Term Frequency (TF)'!E56 * $B56</f>
        <v/>
      </c>
      <c r="F56" s="9">
        <f>'3. Term Frequency (TF)'!F56 * $B56</f>
        <v/>
      </c>
      <c r="G56" s="9">
        <f>'3. Term Frequency (TF)'!G56 * $B56</f>
        <v/>
      </c>
      <c r="H56" s="9">
        <f>'3. Term Frequency (TF)'!H56 * $B56</f>
        <v/>
      </c>
      <c r="I56" s="9">
        <f>'3. Term Frequency (TF)'!I56 * $B56</f>
        <v/>
      </c>
      <c r="J56" s="9">
        <f>'3. Term Frequency (TF)'!J56 * $B56</f>
        <v/>
      </c>
      <c r="K56" s="9">
        <f>'3. Term Frequency (TF)'!K56 * $B56</f>
        <v/>
      </c>
      <c r="L56" s="9">
        <f>'3. Term Frequency (TF)'!L56 * $B56</f>
        <v/>
      </c>
      <c r="M56" s="9">
        <f>'3. Term Frequency (TF)'!M56 * $B56</f>
        <v/>
      </c>
      <c r="N56" s="9">
        <f>'3. Term Frequency (TF)'!N56 * $B56</f>
        <v/>
      </c>
      <c r="O56" s="9">
        <f>'3. Term Frequency (TF)'!O56 * $B56</f>
        <v/>
      </c>
      <c r="P56" s="9">
        <f>'3. Term Frequency (TF)'!P56 * $B56</f>
        <v/>
      </c>
      <c r="Q56" s="9">
        <f>'3. Term Frequency (TF)'!Q56 * $B56</f>
        <v/>
      </c>
      <c r="R56" s="10" t="n"/>
    </row>
    <row r="57">
      <c r="A57" s="7" t="inlineStr">
        <is>
          <t>mahir</t>
        </is>
      </c>
      <c r="B57" s="9">
        <f>LN((15+1)/('3. Term Frequency (TF)'!B57+1))+1</f>
        <v/>
      </c>
      <c r="C57" s="9">
        <f>'3. Term Frequency (TF)'!C57 * $B57</f>
        <v/>
      </c>
      <c r="D57" s="9">
        <f>'3. Term Frequency (TF)'!D57 * $B57</f>
        <v/>
      </c>
      <c r="E57" s="9">
        <f>'3. Term Frequency (TF)'!E57 * $B57</f>
        <v/>
      </c>
      <c r="F57" s="9">
        <f>'3. Term Frequency (TF)'!F57 * $B57</f>
        <v/>
      </c>
      <c r="G57" s="9">
        <f>'3. Term Frequency (TF)'!G57 * $B57</f>
        <v/>
      </c>
      <c r="H57" s="9">
        <f>'3. Term Frequency (TF)'!H57 * $B57</f>
        <v/>
      </c>
      <c r="I57" s="9">
        <f>'3. Term Frequency (TF)'!I57 * $B57</f>
        <v/>
      </c>
      <c r="J57" s="9">
        <f>'3. Term Frequency (TF)'!J57 * $B57</f>
        <v/>
      </c>
      <c r="K57" s="9">
        <f>'3. Term Frequency (TF)'!K57 * $B57</f>
        <v/>
      </c>
      <c r="L57" s="9">
        <f>'3. Term Frequency (TF)'!L57 * $B57</f>
        <v/>
      </c>
      <c r="M57" s="9">
        <f>'3. Term Frequency (TF)'!M57 * $B57</f>
        <v/>
      </c>
      <c r="N57" s="9">
        <f>'3. Term Frequency (TF)'!N57 * $B57</f>
        <v/>
      </c>
      <c r="O57" s="9">
        <f>'3. Term Frequency (TF)'!O57 * $B57</f>
        <v/>
      </c>
      <c r="P57" s="9">
        <f>'3. Term Frequency (TF)'!P57 * $B57</f>
        <v/>
      </c>
      <c r="Q57" s="9">
        <f>'3. Term Frequency (TF)'!Q57 * $B57</f>
        <v/>
      </c>
      <c r="R57" s="10" t="n"/>
    </row>
    <row r="58">
      <c r="A58" s="7" t="inlineStr">
        <is>
          <t>manajemen</t>
        </is>
      </c>
      <c r="B58" s="9">
        <f>LN((15+1)/('3. Term Frequency (TF)'!B58+1))+1</f>
        <v/>
      </c>
      <c r="C58" s="9">
        <f>'3. Term Frequency (TF)'!C58 * $B58</f>
        <v/>
      </c>
      <c r="D58" s="9">
        <f>'3. Term Frequency (TF)'!D58 * $B58</f>
        <v/>
      </c>
      <c r="E58" s="9">
        <f>'3. Term Frequency (TF)'!E58 * $B58</f>
        <v/>
      </c>
      <c r="F58" s="9">
        <f>'3. Term Frequency (TF)'!F58 * $B58</f>
        <v/>
      </c>
      <c r="G58" s="9">
        <f>'3. Term Frequency (TF)'!G58 * $B58</f>
        <v/>
      </c>
      <c r="H58" s="9">
        <f>'3. Term Frequency (TF)'!H58 * $B58</f>
        <v/>
      </c>
      <c r="I58" s="9">
        <f>'3. Term Frequency (TF)'!I58 * $B58</f>
        <v/>
      </c>
      <c r="J58" s="9">
        <f>'3. Term Frequency (TF)'!J58 * $B58</f>
        <v/>
      </c>
      <c r="K58" s="9">
        <f>'3. Term Frequency (TF)'!K58 * $B58</f>
        <v/>
      </c>
      <c r="L58" s="9">
        <f>'3. Term Frequency (TF)'!L58 * $B58</f>
        <v/>
      </c>
      <c r="M58" s="9">
        <f>'3. Term Frequency (TF)'!M58 * $B58</f>
        <v/>
      </c>
      <c r="N58" s="9">
        <f>'3. Term Frequency (TF)'!N58 * $B58</f>
        <v/>
      </c>
      <c r="O58" s="9">
        <f>'3. Term Frequency (TF)'!O58 * $B58</f>
        <v/>
      </c>
      <c r="P58" s="9">
        <f>'3. Term Frequency (TF)'!P58 * $B58</f>
        <v/>
      </c>
      <c r="Q58" s="9">
        <f>'3. Term Frequency (TF)'!Q58 * $B58</f>
        <v/>
      </c>
      <c r="R58" s="10" t="n"/>
    </row>
    <row r="59">
      <c r="A59" s="7" t="inlineStr">
        <is>
          <t>microsoft</t>
        </is>
      </c>
      <c r="B59" s="9">
        <f>LN((15+1)/('3. Term Frequency (TF)'!B59+1))+1</f>
        <v/>
      </c>
      <c r="C59" s="9">
        <f>'3. Term Frequency (TF)'!C59 * $B59</f>
        <v/>
      </c>
      <c r="D59" s="9">
        <f>'3. Term Frequency (TF)'!D59 * $B59</f>
        <v/>
      </c>
      <c r="E59" s="9">
        <f>'3. Term Frequency (TF)'!E59 * $B59</f>
        <v/>
      </c>
      <c r="F59" s="9">
        <f>'3. Term Frequency (TF)'!F59 * $B59</f>
        <v/>
      </c>
      <c r="G59" s="9">
        <f>'3. Term Frequency (TF)'!G59 * $B59</f>
        <v/>
      </c>
      <c r="H59" s="9">
        <f>'3. Term Frequency (TF)'!H59 * $B59</f>
        <v/>
      </c>
      <c r="I59" s="9">
        <f>'3. Term Frequency (TF)'!I59 * $B59</f>
        <v/>
      </c>
      <c r="J59" s="9">
        <f>'3. Term Frequency (TF)'!J59 * $B59</f>
        <v/>
      </c>
      <c r="K59" s="9">
        <f>'3. Term Frequency (TF)'!K59 * $B59</f>
        <v/>
      </c>
      <c r="L59" s="9">
        <f>'3. Term Frequency (TF)'!L59 * $B59</f>
        <v/>
      </c>
      <c r="M59" s="9">
        <f>'3. Term Frequency (TF)'!M59 * $B59</f>
        <v/>
      </c>
      <c r="N59" s="9">
        <f>'3. Term Frequency (TF)'!N59 * $B59</f>
        <v/>
      </c>
      <c r="O59" s="9">
        <f>'3. Term Frequency (TF)'!O59 * $B59</f>
        <v/>
      </c>
      <c r="P59" s="9">
        <f>'3. Term Frequency (TF)'!P59 * $B59</f>
        <v/>
      </c>
      <c r="Q59" s="9">
        <f>'3. Term Frequency (TF)'!Q59 * $B59</f>
        <v/>
      </c>
      <c r="R59" s="10" t="n"/>
    </row>
    <row r="60">
      <c r="A60" s="7" t="inlineStr">
        <is>
          <t>model</t>
        </is>
      </c>
      <c r="B60" s="9">
        <f>LN((15+1)/('3. Term Frequency (TF)'!B60+1))+1</f>
        <v/>
      </c>
      <c r="C60" s="9">
        <f>'3. Term Frequency (TF)'!C60 * $B60</f>
        <v/>
      </c>
      <c r="D60" s="9">
        <f>'3. Term Frequency (TF)'!D60 * $B60</f>
        <v/>
      </c>
      <c r="E60" s="9">
        <f>'3. Term Frequency (TF)'!E60 * $B60</f>
        <v/>
      </c>
      <c r="F60" s="9">
        <f>'3. Term Frequency (TF)'!F60 * $B60</f>
        <v/>
      </c>
      <c r="G60" s="9">
        <f>'3. Term Frequency (TF)'!G60 * $B60</f>
        <v/>
      </c>
      <c r="H60" s="9">
        <f>'3. Term Frequency (TF)'!H60 * $B60</f>
        <v/>
      </c>
      <c r="I60" s="9">
        <f>'3. Term Frequency (TF)'!I60 * $B60</f>
        <v/>
      </c>
      <c r="J60" s="9">
        <f>'3. Term Frequency (TF)'!J60 * $B60</f>
        <v/>
      </c>
      <c r="K60" s="9">
        <f>'3. Term Frequency (TF)'!K60 * $B60</f>
        <v/>
      </c>
      <c r="L60" s="9">
        <f>'3. Term Frequency (TF)'!L60 * $B60</f>
        <v/>
      </c>
      <c r="M60" s="9">
        <f>'3. Term Frequency (TF)'!M60 * $B60</f>
        <v/>
      </c>
      <c r="N60" s="9">
        <f>'3. Term Frequency (TF)'!N60 * $B60</f>
        <v/>
      </c>
      <c r="O60" s="9">
        <f>'3. Term Frequency (TF)'!O60 * $B60</f>
        <v/>
      </c>
      <c r="P60" s="9">
        <f>'3. Term Frequency (TF)'!P60 * $B60</f>
        <v/>
      </c>
      <c r="Q60" s="9">
        <f>'3. Term Frequency (TF)'!Q60 * $B60</f>
        <v/>
      </c>
      <c r="R60" s="10" t="n"/>
    </row>
    <row r="61">
      <c r="A61" s="7" t="inlineStr">
        <is>
          <t>mysql</t>
        </is>
      </c>
      <c r="B61" s="9">
        <f>LN((15+1)/('3. Term Frequency (TF)'!B61+1))+1</f>
        <v/>
      </c>
      <c r="C61" s="9">
        <f>'3. Term Frequency (TF)'!C61 * $B61</f>
        <v/>
      </c>
      <c r="D61" s="9">
        <f>'3. Term Frequency (TF)'!D61 * $B61</f>
        <v/>
      </c>
      <c r="E61" s="9">
        <f>'3. Term Frequency (TF)'!E61 * $B61</f>
        <v/>
      </c>
      <c r="F61" s="9">
        <f>'3. Term Frequency (TF)'!F61 * $B61</f>
        <v/>
      </c>
      <c r="G61" s="9">
        <f>'3. Term Frequency (TF)'!G61 * $B61</f>
        <v/>
      </c>
      <c r="H61" s="9">
        <f>'3. Term Frequency (TF)'!H61 * $B61</f>
        <v/>
      </c>
      <c r="I61" s="9">
        <f>'3. Term Frequency (TF)'!I61 * $B61</f>
        <v/>
      </c>
      <c r="J61" s="9">
        <f>'3. Term Frequency (TF)'!J61 * $B61</f>
        <v/>
      </c>
      <c r="K61" s="9">
        <f>'3. Term Frequency (TF)'!K61 * $B61</f>
        <v/>
      </c>
      <c r="L61" s="9">
        <f>'3. Term Frequency (TF)'!L61 * $B61</f>
        <v/>
      </c>
      <c r="M61" s="9">
        <f>'3. Term Frequency (TF)'!M61 * $B61</f>
        <v/>
      </c>
      <c r="N61" s="9">
        <f>'3. Term Frequency (TF)'!N61 * $B61</f>
        <v/>
      </c>
      <c r="O61" s="9">
        <f>'3. Term Frequency (TF)'!O61 * $B61</f>
        <v/>
      </c>
      <c r="P61" s="9">
        <f>'3. Term Frequency (TF)'!P61 * $B61</f>
        <v/>
      </c>
      <c r="Q61" s="9">
        <f>'3. Term Frequency (TF)'!Q61 * $B61</f>
        <v/>
      </c>
      <c r="R61" s="10" t="n"/>
    </row>
    <row r="62">
      <c r="A62" s="7" t="inlineStr">
        <is>
          <t>paham</t>
        </is>
      </c>
      <c r="B62" s="9">
        <f>LN((15+1)/('3. Term Frequency (TF)'!B62+1))+1</f>
        <v/>
      </c>
      <c r="C62" s="9">
        <f>'3. Term Frequency (TF)'!C62 * $B62</f>
        <v/>
      </c>
      <c r="D62" s="9">
        <f>'3. Term Frequency (TF)'!D62 * $B62</f>
        <v/>
      </c>
      <c r="E62" s="9">
        <f>'3. Term Frequency (TF)'!E62 * $B62</f>
        <v/>
      </c>
      <c r="F62" s="9">
        <f>'3. Term Frequency (TF)'!F62 * $B62</f>
        <v/>
      </c>
      <c r="G62" s="9">
        <f>'3. Term Frequency (TF)'!G62 * $B62</f>
        <v/>
      </c>
      <c r="H62" s="9">
        <f>'3. Term Frequency (TF)'!H62 * $B62</f>
        <v/>
      </c>
      <c r="I62" s="9">
        <f>'3. Term Frequency (TF)'!I62 * $B62</f>
        <v/>
      </c>
      <c r="J62" s="9">
        <f>'3. Term Frequency (TF)'!J62 * $B62</f>
        <v/>
      </c>
      <c r="K62" s="9">
        <f>'3. Term Frequency (TF)'!K62 * $B62</f>
        <v/>
      </c>
      <c r="L62" s="9">
        <f>'3. Term Frequency (TF)'!L62 * $B62</f>
        <v/>
      </c>
      <c r="M62" s="9">
        <f>'3. Term Frequency (TF)'!M62 * $B62</f>
        <v/>
      </c>
      <c r="N62" s="9">
        <f>'3. Term Frequency (TF)'!N62 * $B62</f>
        <v/>
      </c>
      <c r="O62" s="9">
        <f>'3. Term Frequency (TF)'!O62 * $B62</f>
        <v/>
      </c>
      <c r="P62" s="9">
        <f>'3. Term Frequency (TF)'!P62 * $B62</f>
        <v/>
      </c>
      <c r="Q62" s="9">
        <f>'3. Term Frequency (TF)'!Q62 * $B62</f>
        <v/>
      </c>
      <c r="R62" s="10" t="n"/>
    </row>
    <row r="63">
      <c r="A63" s="7" t="inlineStr">
        <is>
          <t>pajak</t>
        </is>
      </c>
      <c r="B63" s="9">
        <f>LN((15+1)/('3. Term Frequency (TF)'!B63+1))+1</f>
        <v/>
      </c>
      <c r="C63" s="9">
        <f>'3. Term Frequency (TF)'!C63 * $B63</f>
        <v/>
      </c>
      <c r="D63" s="9">
        <f>'3. Term Frequency (TF)'!D63 * $B63</f>
        <v/>
      </c>
      <c r="E63" s="9">
        <f>'3. Term Frequency (TF)'!E63 * $B63</f>
        <v/>
      </c>
      <c r="F63" s="9">
        <f>'3. Term Frequency (TF)'!F63 * $B63</f>
        <v/>
      </c>
      <c r="G63" s="9">
        <f>'3. Term Frequency (TF)'!G63 * $B63</f>
        <v/>
      </c>
      <c r="H63" s="9">
        <f>'3. Term Frequency (TF)'!H63 * $B63</f>
        <v/>
      </c>
      <c r="I63" s="9">
        <f>'3. Term Frequency (TF)'!I63 * $B63</f>
        <v/>
      </c>
      <c r="J63" s="9">
        <f>'3. Term Frequency (TF)'!J63 * $B63</f>
        <v/>
      </c>
      <c r="K63" s="9">
        <f>'3. Term Frequency (TF)'!K63 * $B63</f>
        <v/>
      </c>
      <c r="L63" s="9">
        <f>'3. Term Frequency (TF)'!L63 * $B63</f>
        <v/>
      </c>
      <c r="M63" s="9">
        <f>'3. Term Frequency (TF)'!M63 * $B63</f>
        <v/>
      </c>
      <c r="N63" s="9">
        <f>'3. Term Frequency (TF)'!N63 * $B63</f>
        <v/>
      </c>
      <c r="O63" s="9">
        <f>'3. Term Frequency (TF)'!O63 * $B63</f>
        <v/>
      </c>
      <c r="P63" s="9">
        <f>'3. Term Frequency (TF)'!P63 * $B63</f>
        <v/>
      </c>
      <c r="Q63" s="9">
        <f>'3. Term Frequency (TF)'!Q63 * $B63</f>
        <v/>
      </c>
      <c r="R63" s="10" t="n"/>
    </row>
    <row r="64">
      <c r="A64" s="7" t="inlineStr">
        <is>
          <t>perusahaan</t>
        </is>
      </c>
      <c r="B64" s="9">
        <f>LN((15+1)/('3. Term Frequency (TF)'!B64+1))+1</f>
        <v/>
      </c>
      <c r="C64" s="9">
        <f>'3. Term Frequency (TF)'!C64 * $B64</f>
        <v/>
      </c>
      <c r="D64" s="9">
        <f>'3. Term Frequency (TF)'!D64 * $B64</f>
        <v/>
      </c>
      <c r="E64" s="9">
        <f>'3. Term Frequency (TF)'!E64 * $B64</f>
        <v/>
      </c>
      <c r="F64" s="9">
        <f>'3. Term Frequency (TF)'!F64 * $B64</f>
        <v/>
      </c>
      <c r="G64" s="9">
        <f>'3. Term Frequency (TF)'!G64 * $B64</f>
        <v/>
      </c>
      <c r="H64" s="9">
        <f>'3. Term Frequency (TF)'!H64 * $B64</f>
        <v/>
      </c>
      <c r="I64" s="9">
        <f>'3. Term Frequency (TF)'!I64 * $B64</f>
        <v/>
      </c>
      <c r="J64" s="9">
        <f>'3. Term Frequency (TF)'!J64 * $B64</f>
        <v/>
      </c>
      <c r="K64" s="9">
        <f>'3. Term Frequency (TF)'!K64 * $B64</f>
        <v/>
      </c>
      <c r="L64" s="9">
        <f>'3. Term Frequency (TF)'!L64 * $B64</f>
        <v/>
      </c>
      <c r="M64" s="9">
        <f>'3. Term Frequency (TF)'!M64 * $B64</f>
        <v/>
      </c>
      <c r="N64" s="9">
        <f>'3. Term Frequency (TF)'!N64 * $B64</f>
        <v/>
      </c>
      <c r="O64" s="9">
        <f>'3. Term Frequency (TF)'!O64 * $B64</f>
        <v/>
      </c>
      <c r="P64" s="9">
        <f>'3. Term Frequency (TF)'!P64 * $B64</f>
        <v/>
      </c>
      <c r="Q64" s="9">
        <f>'3. Term Frequency (TF)'!Q64 * $B64</f>
        <v/>
      </c>
      <c r="R64" s="10" t="n"/>
    </row>
    <row r="65">
      <c r="A65" s="7" t="inlineStr">
        <is>
          <t>photoshop</t>
        </is>
      </c>
      <c r="B65" s="9">
        <f>LN((15+1)/('3. Term Frequency (TF)'!B65+1))+1</f>
        <v/>
      </c>
      <c r="C65" s="9">
        <f>'3. Term Frequency (TF)'!C65 * $B65</f>
        <v/>
      </c>
      <c r="D65" s="9">
        <f>'3. Term Frequency (TF)'!D65 * $B65</f>
        <v/>
      </c>
      <c r="E65" s="9">
        <f>'3. Term Frequency (TF)'!E65 * $B65</f>
        <v/>
      </c>
      <c r="F65" s="9">
        <f>'3. Term Frequency (TF)'!F65 * $B65</f>
        <v/>
      </c>
      <c r="G65" s="9">
        <f>'3. Term Frequency (TF)'!G65 * $B65</f>
        <v/>
      </c>
      <c r="H65" s="9">
        <f>'3. Term Frequency (TF)'!H65 * $B65</f>
        <v/>
      </c>
      <c r="I65" s="9">
        <f>'3. Term Frequency (TF)'!I65 * $B65</f>
        <v/>
      </c>
      <c r="J65" s="9">
        <f>'3. Term Frequency (TF)'!J65 * $B65</f>
        <v/>
      </c>
      <c r="K65" s="9">
        <f>'3. Term Frequency (TF)'!K65 * $B65</f>
        <v/>
      </c>
      <c r="L65" s="9">
        <f>'3. Term Frequency (TF)'!L65 * $B65</f>
        <v/>
      </c>
      <c r="M65" s="9">
        <f>'3. Term Frequency (TF)'!M65 * $B65</f>
        <v/>
      </c>
      <c r="N65" s="9">
        <f>'3. Term Frequency (TF)'!N65 * $B65</f>
        <v/>
      </c>
      <c r="O65" s="9">
        <f>'3. Term Frequency (TF)'!O65 * $B65</f>
        <v/>
      </c>
      <c r="P65" s="9">
        <f>'3. Term Frequency (TF)'!P65 * $B65</f>
        <v/>
      </c>
      <c r="Q65" s="9">
        <f>'3. Term Frequency (TF)'!Q65 * $B65</f>
        <v/>
      </c>
      <c r="R65" s="10" t="n"/>
    </row>
    <row r="66">
      <c r="A66" s="7" t="inlineStr">
        <is>
          <t>php</t>
        </is>
      </c>
      <c r="B66" s="9">
        <f>LN((15+1)/('3. Term Frequency (TF)'!B66+1))+1</f>
        <v/>
      </c>
      <c r="C66" s="9">
        <f>'3. Term Frequency (TF)'!C66 * $B66</f>
        <v/>
      </c>
      <c r="D66" s="9">
        <f>'3. Term Frequency (TF)'!D66 * $B66</f>
        <v/>
      </c>
      <c r="E66" s="9">
        <f>'3. Term Frequency (TF)'!E66 * $B66</f>
        <v/>
      </c>
      <c r="F66" s="9">
        <f>'3. Term Frequency (TF)'!F66 * $B66</f>
        <v/>
      </c>
      <c r="G66" s="9">
        <f>'3. Term Frequency (TF)'!G66 * $B66</f>
        <v/>
      </c>
      <c r="H66" s="9">
        <f>'3. Term Frequency (TF)'!H66 * $B66</f>
        <v/>
      </c>
      <c r="I66" s="9">
        <f>'3. Term Frequency (TF)'!I66 * $B66</f>
        <v/>
      </c>
      <c r="J66" s="9">
        <f>'3. Term Frequency (TF)'!J66 * $B66</f>
        <v/>
      </c>
      <c r="K66" s="9">
        <f>'3. Term Frequency (TF)'!K66 * $B66</f>
        <v/>
      </c>
      <c r="L66" s="9">
        <f>'3. Term Frequency (TF)'!L66 * $B66</f>
        <v/>
      </c>
      <c r="M66" s="9">
        <f>'3. Term Frequency (TF)'!M66 * $B66</f>
        <v/>
      </c>
      <c r="N66" s="9">
        <f>'3. Term Frequency (TF)'!N66 * $B66</f>
        <v/>
      </c>
      <c r="O66" s="9">
        <f>'3. Term Frequency (TF)'!O66 * $B66</f>
        <v/>
      </c>
      <c r="P66" s="9">
        <f>'3. Term Frequency (TF)'!P66 * $B66</f>
        <v/>
      </c>
      <c r="Q66" s="9">
        <f>'3. Term Frequency (TF)'!Q66 * $B66</f>
        <v/>
      </c>
      <c r="R66" s="10" t="n"/>
    </row>
    <row r="67">
      <c r="A67" s="7" t="inlineStr">
        <is>
          <t>portofolio</t>
        </is>
      </c>
      <c r="B67" s="9">
        <f>LN((15+1)/('3. Term Frequency (TF)'!B67+1))+1</f>
        <v/>
      </c>
      <c r="C67" s="9">
        <f>'3. Term Frequency (TF)'!C67 * $B67</f>
        <v/>
      </c>
      <c r="D67" s="9">
        <f>'3. Term Frequency (TF)'!D67 * $B67</f>
        <v/>
      </c>
      <c r="E67" s="9">
        <f>'3. Term Frequency (TF)'!E67 * $B67</f>
        <v/>
      </c>
      <c r="F67" s="9">
        <f>'3. Term Frequency (TF)'!F67 * $B67</f>
        <v/>
      </c>
      <c r="G67" s="9">
        <f>'3. Term Frequency (TF)'!G67 * $B67</f>
        <v/>
      </c>
      <c r="H67" s="9">
        <f>'3. Term Frequency (TF)'!H67 * $B67</f>
        <v/>
      </c>
      <c r="I67" s="9">
        <f>'3. Term Frequency (TF)'!I67 * $B67</f>
        <v/>
      </c>
      <c r="J67" s="9">
        <f>'3. Term Frequency (TF)'!J67 * $B67</f>
        <v/>
      </c>
      <c r="K67" s="9">
        <f>'3. Term Frequency (TF)'!K67 * $B67</f>
        <v/>
      </c>
      <c r="L67" s="9">
        <f>'3. Term Frequency (TF)'!L67 * $B67</f>
        <v/>
      </c>
      <c r="M67" s="9">
        <f>'3. Term Frequency (TF)'!M67 * $B67</f>
        <v/>
      </c>
      <c r="N67" s="9">
        <f>'3. Term Frequency (TF)'!N67 * $B67</f>
        <v/>
      </c>
      <c r="O67" s="9">
        <f>'3. Term Frequency (TF)'!O67 * $B67</f>
        <v/>
      </c>
      <c r="P67" s="9">
        <f>'3. Term Frequency (TF)'!P67 * $B67</f>
        <v/>
      </c>
      <c r="Q67" s="9">
        <f>'3. Term Frequency (TF)'!Q67 * $B67</f>
        <v/>
      </c>
      <c r="R67" s="10" t="n"/>
    </row>
    <row r="68">
      <c r="A68" s="7" t="inlineStr">
        <is>
          <t>produk</t>
        </is>
      </c>
      <c r="B68" s="9">
        <f>LN((15+1)/('3. Term Frequency (TF)'!B68+1))+1</f>
        <v/>
      </c>
      <c r="C68" s="9">
        <f>'3. Term Frequency (TF)'!C68 * $B68</f>
        <v/>
      </c>
      <c r="D68" s="9">
        <f>'3. Term Frequency (TF)'!D68 * $B68</f>
        <v/>
      </c>
      <c r="E68" s="9">
        <f>'3. Term Frequency (TF)'!E68 * $B68</f>
        <v/>
      </c>
      <c r="F68" s="9">
        <f>'3. Term Frequency (TF)'!F68 * $B68</f>
        <v/>
      </c>
      <c r="G68" s="9">
        <f>'3. Term Frequency (TF)'!G68 * $B68</f>
        <v/>
      </c>
      <c r="H68" s="9">
        <f>'3. Term Frequency (TF)'!H68 * $B68</f>
        <v/>
      </c>
      <c r="I68" s="9">
        <f>'3. Term Frequency (TF)'!I68 * $B68</f>
        <v/>
      </c>
      <c r="J68" s="9">
        <f>'3. Term Frequency (TF)'!J68 * $B68</f>
        <v/>
      </c>
      <c r="K68" s="9">
        <f>'3. Term Frequency (TF)'!K68 * $B68</f>
        <v/>
      </c>
      <c r="L68" s="9">
        <f>'3. Term Frequency (TF)'!L68 * $B68</f>
        <v/>
      </c>
      <c r="M68" s="9">
        <f>'3. Term Frequency (TF)'!M68 * $B68</f>
        <v/>
      </c>
      <c r="N68" s="9">
        <f>'3. Term Frequency (TF)'!N68 * $B68</f>
        <v/>
      </c>
      <c r="O68" s="9">
        <f>'3. Term Frequency (TF)'!O68 * $B68</f>
        <v/>
      </c>
      <c r="P68" s="9">
        <f>'3. Term Frequency (TF)'!P68 * $B68</f>
        <v/>
      </c>
      <c r="Q68" s="9">
        <f>'3. Term Frequency (TF)'!Q68 * $B68</f>
        <v/>
      </c>
      <c r="R68" s="10" t="n"/>
    </row>
    <row r="69">
      <c r="A69" s="7" t="inlineStr">
        <is>
          <t>program</t>
        </is>
      </c>
      <c r="B69" s="9">
        <f>LN((15+1)/('3. Term Frequency (TF)'!B69+1))+1</f>
        <v/>
      </c>
      <c r="C69" s="9">
        <f>'3. Term Frequency (TF)'!C69 * $B69</f>
        <v/>
      </c>
      <c r="D69" s="9">
        <f>'3. Term Frequency (TF)'!D69 * $B69</f>
        <v/>
      </c>
      <c r="E69" s="9">
        <f>'3. Term Frequency (TF)'!E69 * $B69</f>
        <v/>
      </c>
      <c r="F69" s="9">
        <f>'3. Term Frequency (TF)'!F69 * $B69</f>
        <v/>
      </c>
      <c r="G69" s="9">
        <f>'3. Term Frequency (TF)'!G69 * $B69</f>
        <v/>
      </c>
      <c r="H69" s="9">
        <f>'3. Term Frequency (TF)'!H69 * $B69</f>
        <v/>
      </c>
      <c r="I69" s="9">
        <f>'3. Term Frequency (TF)'!I69 * $B69</f>
        <v/>
      </c>
      <c r="J69" s="9">
        <f>'3. Term Frequency (TF)'!J69 * $B69</f>
        <v/>
      </c>
      <c r="K69" s="9">
        <f>'3. Term Frequency (TF)'!K69 * $B69</f>
        <v/>
      </c>
      <c r="L69" s="9">
        <f>'3. Term Frequency (TF)'!L69 * $B69</f>
        <v/>
      </c>
      <c r="M69" s="9">
        <f>'3. Term Frequency (TF)'!M69 * $B69</f>
        <v/>
      </c>
      <c r="N69" s="9">
        <f>'3. Term Frequency (TF)'!N69 * $B69</f>
        <v/>
      </c>
      <c r="O69" s="9">
        <f>'3. Term Frequency (TF)'!O69 * $B69</f>
        <v/>
      </c>
      <c r="P69" s="9">
        <f>'3. Term Frequency (TF)'!P69 * $B69</f>
        <v/>
      </c>
      <c r="Q69" s="9">
        <f>'3. Term Frequency (TF)'!Q69 * $B69</f>
        <v/>
      </c>
      <c r="R69" s="10" t="n"/>
    </row>
    <row r="70">
      <c r="A70" s="7" t="inlineStr">
        <is>
          <t>prototyping</t>
        </is>
      </c>
      <c r="B70" s="9">
        <f>LN((15+1)/('3. Term Frequency (TF)'!B70+1))+1</f>
        <v/>
      </c>
      <c r="C70" s="9">
        <f>'3. Term Frequency (TF)'!C70 * $B70</f>
        <v/>
      </c>
      <c r="D70" s="9">
        <f>'3. Term Frequency (TF)'!D70 * $B70</f>
        <v/>
      </c>
      <c r="E70" s="9">
        <f>'3. Term Frequency (TF)'!E70 * $B70</f>
        <v/>
      </c>
      <c r="F70" s="9">
        <f>'3. Term Frequency (TF)'!F70 * $B70</f>
        <v/>
      </c>
      <c r="G70" s="9">
        <f>'3. Term Frequency (TF)'!G70 * $B70</f>
        <v/>
      </c>
      <c r="H70" s="9">
        <f>'3. Term Frequency (TF)'!H70 * $B70</f>
        <v/>
      </c>
      <c r="I70" s="9">
        <f>'3. Term Frequency (TF)'!I70 * $B70</f>
        <v/>
      </c>
      <c r="J70" s="9">
        <f>'3. Term Frequency (TF)'!J70 * $B70</f>
        <v/>
      </c>
      <c r="K70" s="9">
        <f>'3. Term Frequency (TF)'!K70 * $B70</f>
        <v/>
      </c>
      <c r="L70" s="9">
        <f>'3. Term Frequency (TF)'!L70 * $B70</f>
        <v/>
      </c>
      <c r="M70" s="9">
        <f>'3. Term Frequency (TF)'!M70 * $B70</f>
        <v/>
      </c>
      <c r="N70" s="9">
        <f>'3. Term Frequency (TF)'!N70 * $B70</f>
        <v/>
      </c>
      <c r="O70" s="9">
        <f>'3. Term Frequency (TF)'!O70 * $B70</f>
        <v/>
      </c>
      <c r="P70" s="9">
        <f>'3. Term Frequency (TF)'!P70 * $B70</f>
        <v/>
      </c>
      <c r="Q70" s="9">
        <f>'3. Term Frequency (TF)'!Q70 * $B70</f>
        <v/>
      </c>
      <c r="R70" s="10" t="n"/>
    </row>
    <row r="71">
      <c r="A71" s="7" t="inlineStr">
        <is>
          <t>punya</t>
        </is>
      </c>
      <c r="B71" s="9">
        <f>LN((15+1)/('3. Term Frequency (TF)'!B71+1))+1</f>
        <v/>
      </c>
      <c r="C71" s="9">
        <f>'3. Term Frequency (TF)'!C71 * $B71</f>
        <v/>
      </c>
      <c r="D71" s="9">
        <f>'3. Term Frequency (TF)'!D71 * $B71</f>
        <v/>
      </c>
      <c r="E71" s="9">
        <f>'3. Term Frequency (TF)'!E71 * $B71</f>
        <v/>
      </c>
      <c r="F71" s="9">
        <f>'3. Term Frequency (TF)'!F71 * $B71</f>
        <v/>
      </c>
      <c r="G71" s="9">
        <f>'3. Term Frequency (TF)'!G71 * $B71</f>
        <v/>
      </c>
      <c r="H71" s="9">
        <f>'3. Term Frequency (TF)'!H71 * $B71</f>
        <v/>
      </c>
      <c r="I71" s="9">
        <f>'3. Term Frequency (TF)'!I71 * $B71</f>
        <v/>
      </c>
      <c r="J71" s="9">
        <f>'3. Term Frequency (TF)'!J71 * $B71</f>
        <v/>
      </c>
      <c r="K71" s="9">
        <f>'3. Term Frequency (TF)'!K71 * $B71</f>
        <v/>
      </c>
      <c r="L71" s="9">
        <f>'3. Term Frequency (TF)'!L71 * $B71</f>
        <v/>
      </c>
      <c r="M71" s="9">
        <f>'3. Term Frequency (TF)'!M71 * $B71</f>
        <v/>
      </c>
      <c r="N71" s="9">
        <f>'3. Term Frequency (TF)'!N71 * $B71</f>
        <v/>
      </c>
      <c r="O71" s="9">
        <f>'3. Term Frequency (TF)'!O71 * $B71</f>
        <v/>
      </c>
      <c r="P71" s="9">
        <f>'3. Term Frequency (TF)'!P71 * $B71</f>
        <v/>
      </c>
      <c r="Q71" s="9">
        <f>'3. Term Frequency (TF)'!Q71 * $B71</f>
        <v/>
      </c>
      <c r="R71" s="10" t="n"/>
    </row>
    <row r="72">
      <c r="A72" s="7" t="inlineStr">
        <is>
          <t>python</t>
        </is>
      </c>
      <c r="B72" s="9">
        <f>LN((15+1)/('3. Term Frequency (TF)'!B72+1))+1</f>
        <v/>
      </c>
      <c r="C72" s="9">
        <f>'3. Term Frequency (TF)'!C72 * $B72</f>
        <v/>
      </c>
      <c r="D72" s="9">
        <f>'3. Term Frequency (TF)'!D72 * $B72</f>
        <v/>
      </c>
      <c r="E72" s="9">
        <f>'3. Term Frequency (TF)'!E72 * $B72</f>
        <v/>
      </c>
      <c r="F72" s="9">
        <f>'3. Term Frequency (TF)'!F72 * $B72</f>
        <v/>
      </c>
      <c r="G72" s="9">
        <f>'3. Term Frequency (TF)'!G72 * $B72</f>
        <v/>
      </c>
      <c r="H72" s="9">
        <f>'3. Term Frequency (TF)'!H72 * $B72</f>
        <v/>
      </c>
      <c r="I72" s="9">
        <f>'3. Term Frequency (TF)'!I72 * $B72</f>
        <v/>
      </c>
      <c r="J72" s="9">
        <f>'3. Term Frequency (TF)'!J72 * $B72</f>
        <v/>
      </c>
      <c r="K72" s="9">
        <f>'3. Term Frequency (TF)'!K72 * $B72</f>
        <v/>
      </c>
      <c r="L72" s="9">
        <f>'3. Term Frequency (TF)'!L72 * $B72</f>
        <v/>
      </c>
      <c r="M72" s="9">
        <f>'3. Term Frequency (TF)'!M72 * $B72</f>
        <v/>
      </c>
      <c r="N72" s="9">
        <f>'3. Term Frequency (TF)'!N72 * $B72</f>
        <v/>
      </c>
      <c r="O72" s="9">
        <f>'3. Term Frequency (TF)'!O72 * $B72</f>
        <v/>
      </c>
      <c r="P72" s="9">
        <f>'3. Term Frequency (TF)'!P72 * $B72</f>
        <v/>
      </c>
      <c r="Q72" s="9">
        <f>'3. Term Frequency (TF)'!Q72 * $B72</f>
        <v/>
      </c>
      <c r="R72" s="10" t="n"/>
    </row>
    <row r="73">
      <c r="A73" s="7" t="inlineStr">
        <is>
          <t>query</t>
        </is>
      </c>
      <c r="B73" s="9">
        <f>LN((15+1)/('3. Term Frequency (TF)'!B73+1))+1</f>
        <v/>
      </c>
      <c r="C73" s="9">
        <f>'3. Term Frequency (TF)'!C73 * $B73</f>
        <v/>
      </c>
      <c r="D73" s="9">
        <f>'3. Term Frequency (TF)'!D73 * $B73</f>
        <v/>
      </c>
      <c r="E73" s="9">
        <f>'3. Term Frequency (TF)'!E73 * $B73</f>
        <v/>
      </c>
      <c r="F73" s="9">
        <f>'3. Term Frequency (TF)'!F73 * $B73</f>
        <v/>
      </c>
      <c r="G73" s="9">
        <f>'3. Term Frequency (TF)'!G73 * $B73</f>
        <v/>
      </c>
      <c r="H73" s="9">
        <f>'3. Term Frequency (TF)'!H73 * $B73</f>
        <v/>
      </c>
      <c r="I73" s="9">
        <f>'3. Term Frequency (TF)'!I73 * $B73</f>
        <v/>
      </c>
      <c r="J73" s="9">
        <f>'3. Term Frequency (TF)'!J73 * $B73</f>
        <v/>
      </c>
      <c r="K73" s="9">
        <f>'3. Term Frequency (TF)'!K73 * $B73</f>
        <v/>
      </c>
      <c r="L73" s="9">
        <f>'3. Term Frequency (TF)'!L73 * $B73</f>
        <v/>
      </c>
      <c r="M73" s="9">
        <f>'3. Term Frequency (TF)'!M73 * $B73</f>
        <v/>
      </c>
      <c r="N73" s="9">
        <f>'3. Term Frequency (TF)'!N73 * $B73</f>
        <v/>
      </c>
      <c r="O73" s="9">
        <f>'3. Term Frequency (TF)'!O73 * $B73</f>
        <v/>
      </c>
      <c r="P73" s="9">
        <f>'3. Term Frequency (TF)'!P73 * $B73</f>
        <v/>
      </c>
      <c r="Q73" s="9">
        <f>'3. Term Frequency (TF)'!Q73 * $B73</f>
        <v/>
      </c>
      <c r="R73" s="10" t="n"/>
    </row>
    <row r="74">
      <c r="A74" s="7" t="inlineStr">
        <is>
          <t>rekonsiliasi</t>
        </is>
      </c>
      <c r="B74" s="9">
        <f>LN((15+1)/('3. Term Frequency (TF)'!B74+1))+1</f>
        <v/>
      </c>
      <c r="C74" s="9">
        <f>'3. Term Frequency (TF)'!C74 * $B74</f>
        <v/>
      </c>
      <c r="D74" s="9">
        <f>'3. Term Frequency (TF)'!D74 * $B74</f>
        <v/>
      </c>
      <c r="E74" s="9">
        <f>'3. Term Frequency (TF)'!E74 * $B74</f>
        <v/>
      </c>
      <c r="F74" s="9">
        <f>'3. Term Frequency (TF)'!F74 * $B74</f>
        <v/>
      </c>
      <c r="G74" s="9">
        <f>'3. Term Frequency (TF)'!G74 * $B74</f>
        <v/>
      </c>
      <c r="H74" s="9">
        <f>'3. Term Frequency (TF)'!H74 * $B74</f>
        <v/>
      </c>
      <c r="I74" s="9">
        <f>'3. Term Frequency (TF)'!I74 * $B74</f>
        <v/>
      </c>
      <c r="J74" s="9">
        <f>'3. Term Frequency (TF)'!J74 * $B74</f>
        <v/>
      </c>
      <c r="K74" s="9">
        <f>'3. Term Frequency (TF)'!K74 * $B74</f>
        <v/>
      </c>
      <c r="L74" s="9">
        <f>'3. Term Frequency (TF)'!L74 * $B74</f>
        <v/>
      </c>
      <c r="M74" s="9">
        <f>'3. Term Frequency (TF)'!M74 * $B74</f>
        <v/>
      </c>
      <c r="N74" s="9">
        <f>'3. Term Frequency (TF)'!N74 * $B74</f>
        <v/>
      </c>
      <c r="O74" s="9">
        <f>'3. Term Frequency (TF)'!O74 * $B74</f>
        <v/>
      </c>
      <c r="P74" s="9">
        <f>'3. Term Frequency (TF)'!P74 * $B74</f>
        <v/>
      </c>
      <c r="Q74" s="9">
        <f>'3. Term Frequency (TF)'!Q74 * $B74</f>
        <v/>
      </c>
      <c r="R74" s="10" t="n"/>
    </row>
    <row r="75">
      <c r="A75" s="7" t="inlineStr">
        <is>
          <t>rest</t>
        </is>
      </c>
      <c r="B75" s="9">
        <f>LN((15+1)/('3. Term Frequency (TF)'!B75+1))+1</f>
        <v/>
      </c>
      <c r="C75" s="9">
        <f>'3. Term Frequency (TF)'!C75 * $B75</f>
        <v/>
      </c>
      <c r="D75" s="9">
        <f>'3. Term Frequency (TF)'!D75 * $B75</f>
        <v/>
      </c>
      <c r="E75" s="9">
        <f>'3. Term Frequency (TF)'!E75 * $B75</f>
        <v/>
      </c>
      <c r="F75" s="9">
        <f>'3. Term Frequency (TF)'!F75 * $B75</f>
        <v/>
      </c>
      <c r="G75" s="9">
        <f>'3. Term Frequency (TF)'!G75 * $B75</f>
        <v/>
      </c>
      <c r="H75" s="9">
        <f>'3. Term Frequency (TF)'!H75 * $B75</f>
        <v/>
      </c>
      <c r="I75" s="9">
        <f>'3. Term Frequency (TF)'!I75 * $B75</f>
        <v/>
      </c>
      <c r="J75" s="9">
        <f>'3. Term Frequency (TF)'!J75 * $B75</f>
        <v/>
      </c>
      <c r="K75" s="9">
        <f>'3. Term Frequency (TF)'!K75 * $B75</f>
        <v/>
      </c>
      <c r="L75" s="9">
        <f>'3. Term Frequency (TF)'!L75 * $B75</f>
        <v/>
      </c>
      <c r="M75" s="9">
        <f>'3. Term Frequency (TF)'!M75 * $B75</f>
        <v/>
      </c>
      <c r="N75" s="9">
        <f>'3. Term Frequency (TF)'!N75 * $B75</f>
        <v/>
      </c>
      <c r="O75" s="9">
        <f>'3. Term Frequency (TF)'!O75 * $B75</f>
        <v/>
      </c>
      <c r="P75" s="9">
        <f>'3. Term Frequency (TF)'!P75 * $B75</f>
        <v/>
      </c>
      <c r="Q75" s="9">
        <f>'3. Term Frequency (TF)'!Q75 * $B75</f>
        <v/>
      </c>
      <c r="R75" s="10" t="n"/>
    </row>
    <row r="76">
      <c r="A76" s="7" t="inlineStr">
        <is>
          <t>riset</t>
        </is>
      </c>
      <c r="B76" s="9">
        <f>LN((15+1)/('3. Term Frequency (TF)'!B76+1))+1</f>
        <v/>
      </c>
      <c r="C76" s="9">
        <f>'3. Term Frequency (TF)'!C76 * $B76</f>
        <v/>
      </c>
      <c r="D76" s="9">
        <f>'3. Term Frequency (TF)'!D76 * $B76</f>
        <v/>
      </c>
      <c r="E76" s="9">
        <f>'3. Term Frequency (TF)'!E76 * $B76</f>
        <v/>
      </c>
      <c r="F76" s="9">
        <f>'3. Term Frequency (TF)'!F76 * $B76</f>
        <v/>
      </c>
      <c r="G76" s="9">
        <f>'3. Term Frequency (TF)'!G76 * $B76</f>
        <v/>
      </c>
      <c r="H76" s="9">
        <f>'3. Term Frequency (TF)'!H76 * $B76</f>
        <v/>
      </c>
      <c r="I76" s="9">
        <f>'3. Term Frequency (TF)'!I76 * $B76</f>
        <v/>
      </c>
      <c r="J76" s="9">
        <f>'3. Term Frequency (TF)'!J76 * $B76</f>
        <v/>
      </c>
      <c r="K76" s="9">
        <f>'3. Term Frequency (TF)'!K76 * $B76</f>
        <v/>
      </c>
      <c r="L76" s="9">
        <f>'3. Term Frequency (TF)'!L76 * $B76</f>
        <v/>
      </c>
      <c r="M76" s="9">
        <f>'3. Term Frequency (TF)'!M76 * $B76</f>
        <v/>
      </c>
      <c r="N76" s="9">
        <f>'3. Term Frequency (TF)'!N76 * $B76</f>
        <v/>
      </c>
      <c r="O76" s="9">
        <f>'3. Term Frequency (TF)'!O76 * $B76</f>
        <v/>
      </c>
      <c r="P76" s="9">
        <f>'3. Term Frequency (TF)'!P76 * $B76</f>
        <v/>
      </c>
      <c r="Q76" s="9">
        <f>'3. Term Frequency (TF)'!Q76 * $B76</f>
        <v/>
      </c>
      <c r="R76" s="10" t="n"/>
    </row>
    <row r="77">
      <c r="A77" s="7" t="inlineStr">
        <is>
          <t>sangat</t>
        </is>
      </c>
      <c r="B77" s="9">
        <f>LN((15+1)/('3. Term Frequency (TF)'!B77+1))+1</f>
        <v/>
      </c>
      <c r="C77" s="9">
        <f>'3. Term Frequency (TF)'!C77 * $B77</f>
        <v/>
      </c>
      <c r="D77" s="9">
        <f>'3. Term Frequency (TF)'!D77 * $B77</f>
        <v/>
      </c>
      <c r="E77" s="9">
        <f>'3. Term Frequency (TF)'!E77 * $B77</f>
        <v/>
      </c>
      <c r="F77" s="9">
        <f>'3. Term Frequency (TF)'!F77 * $B77</f>
        <v/>
      </c>
      <c r="G77" s="9">
        <f>'3. Term Frequency (TF)'!G77 * $B77</f>
        <v/>
      </c>
      <c r="H77" s="9">
        <f>'3. Term Frequency (TF)'!H77 * $B77</f>
        <v/>
      </c>
      <c r="I77" s="9">
        <f>'3. Term Frequency (TF)'!I77 * $B77</f>
        <v/>
      </c>
      <c r="J77" s="9">
        <f>'3. Term Frequency (TF)'!J77 * $B77</f>
        <v/>
      </c>
      <c r="K77" s="9">
        <f>'3. Term Frequency (TF)'!K77 * $B77</f>
        <v/>
      </c>
      <c r="L77" s="9">
        <f>'3. Term Frequency (TF)'!L77 * $B77</f>
        <v/>
      </c>
      <c r="M77" s="9">
        <f>'3. Term Frequency (TF)'!M77 * $B77</f>
        <v/>
      </c>
      <c r="N77" s="9">
        <f>'3. Term Frequency (TF)'!N77 * $B77</f>
        <v/>
      </c>
      <c r="O77" s="9">
        <f>'3. Term Frequency (TF)'!O77 * $B77</f>
        <v/>
      </c>
      <c r="P77" s="9">
        <f>'3. Term Frequency (TF)'!P77 * $B77</f>
        <v/>
      </c>
      <c r="Q77" s="9">
        <f>'3. Term Frequency (TF)'!Q77 * $B77</f>
        <v/>
      </c>
      <c r="R77" s="10" t="n"/>
    </row>
    <row r="78">
      <c r="A78" s="7" t="inlineStr">
        <is>
          <t>scientist</t>
        </is>
      </c>
      <c r="B78" s="9">
        <f>LN((15+1)/('3. Term Frequency (TF)'!B78+1))+1</f>
        <v/>
      </c>
      <c r="C78" s="9">
        <f>'3. Term Frequency (TF)'!C78 * $B78</f>
        <v/>
      </c>
      <c r="D78" s="9">
        <f>'3. Term Frequency (TF)'!D78 * $B78</f>
        <v/>
      </c>
      <c r="E78" s="9">
        <f>'3. Term Frequency (TF)'!E78 * $B78</f>
        <v/>
      </c>
      <c r="F78" s="9">
        <f>'3. Term Frequency (TF)'!F78 * $B78</f>
        <v/>
      </c>
      <c r="G78" s="9">
        <f>'3. Term Frequency (TF)'!G78 * $B78</f>
        <v/>
      </c>
      <c r="H78" s="9">
        <f>'3. Term Frequency (TF)'!H78 * $B78</f>
        <v/>
      </c>
      <c r="I78" s="9">
        <f>'3. Term Frequency (TF)'!I78 * $B78</f>
        <v/>
      </c>
      <c r="J78" s="9">
        <f>'3. Term Frequency (TF)'!J78 * $B78</f>
        <v/>
      </c>
      <c r="K78" s="9">
        <f>'3. Term Frequency (TF)'!K78 * $B78</f>
        <v/>
      </c>
      <c r="L78" s="9">
        <f>'3. Term Frequency (TF)'!L78 * $B78</f>
        <v/>
      </c>
      <c r="M78" s="9">
        <f>'3. Term Frequency (TF)'!M78 * $B78</f>
        <v/>
      </c>
      <c r="N78" s="9">
        <f>'3. Term Frequency (TF)'!N78 * $B78</f>
        <v/>
      </c>
      <c r="O78" s="9">
        <f>'3. Term Frequency (TF)'!O78 * $B78</f>
        <v/>
      </c>
      <c r="P78" s="9">
        <f>'3. Term Frequency (TF)'!P78 * $B78</f>
        <v/>
      </c>
      <c r="Q78" s="9">
        <f>'3. Term Frequency (TF)'!Q78 * $B78</f>
        <v/>
      </c>
      <c r="R78" s="10" t="n"/>
    </row>
    <row r="79">
      <c r="A79" s="7" t="inlineStr">
        <is>
          <t>sedikit</t>
        </is>
      </c>
      <c r="B79" s="9">
        <f>LN((15+1)/('3. Term Frequency (TF)'!B79+1))+1</f>
        <v/>
      </c>
      <c r="C79" s="9">
        <f>'3. Term Frequency (TF)'!C79 * $B79</f>
        <v/>
      </c>
      <c r="D79" s="9">
        <f>'3. Term Frequency (TF)'!D79 * $B79</f>
        <v/>
      </c>
      <c r="E79" s="9">
        <f>'3. Term Frequency (TF)'!E79 * $B79</f>
        <v/>
      </c>
      <c r="F79" s="9">
        <f>'3. Term Frequency (TF)'!F79 * $B79</f>
        <v/>
      </c>
      <c r="G79" s="9">
        <f>'3. Term Frequency (TF)'!G79 * $B79</f>
        <v/>
      </c>
      <c r="H79" s="9">
        <f>'3. Term Frequency (TF)'!H79 * $B79</f>
        <v/>
      </c>
      <c r="I79" s="9">
        <f>'3. Term Frequency (TF)'!I79 * $B79</f>
        <v/>
      </c>
      <c r="J79" s="9">
        <f>'3. Term Frequency (TF)'!J79 * $B79</f>
        <v/>
      </c>
      <c r="K79" s="9">
        <f>'3. Term Frequency (TF)'!K79 * $B79</f>
        <v/>
      </c>
      <c r="L79" s="9">
        <f>'3. Term Frequency (TF)'!L79 * $B79</f>
        <v/>
      </c>
      <c r="M79" s="9">
        <f>'3. Term Frequency (TF)'!M79 * $B79</f>
        <v/>
      </c>
      <c r="N79" s="9">
        <f>'3. Term Frequency (TF)'!N79 * $B79</f>
        <v/>
      </c>
      <c r="O79" s="9">
        <f>'3. Term Frequency (TF)'!O79 * $B79</f>
        <v/>
      </c>
      <c r="P79" s="9">
        <f>'3. Term Frequency (TF)'!P79 * $B79</f>
        <v/>
      </c>
      <c r="Q79" s="9">
        <f>'3. Term Frequency (TF)'!Q79 * $B79</f>
        <v/>
      </c>
      <c r="R79" s="10" t="n"/>
    </row>
    <row r="80">
      <c r="A80" s="7" t="inlineStr">
        <is>
          <t>senior</t>
        </is>
      </c>
      <c r="B80" s="9">
        <f>LN((15+1)/('3. Term Frequency (TF)'!B80+1))+1</f>
        <v/>
      </c>
      <c r="C80" s="9">
        <f>'3. Term Frequency (TF)'!C80 * $B80</f>
        <v/>
      </c>
      <c r="D80" s="9">
        <f>'3. Term Frequency (TF)'!D80 * $B80</f>
        <v/>
      </c>
      <c r="E80" s="9">
        <f>'3. Term Frequency (TF)'!E80 * $B80</f>
        <v/>
      </c>
      <c r="F80" s="9">
        <f>'3. Term Frequency (TF)'!F80 * $B80</f>
        <v/>
      </c>
      <c r="G80" s="9">
        <f>'3. Term Frequency (TF)'!G80 * $B80</f>
        <v/>
      </c>
      <c r="H80" s="9">
        <f>'3. Term Frequency (TF)'!H80 * $B80</f>
        <v/>
      </c>
      <c r="I80" s="9">
        <f>'3. Term Frequency (TF)'!I80 * $B80</f>
        <v/>
      </c>
      <c r="J80" s="9">
        <f>'3. Term Frequency (TF)'!J80 * $B80</f>
        <v/>
      </c>
      <c r="K80" s="9">
        <f>'3. Term Frequency (TF)'!K80 * $B80</f>
        <v/>
      </c>
      <c r="L80" s="9">
        <f>'3. Term Frequency (TF)'!L80 * $B80</f>
        <v/>
      </c>
      <c r="M80" s="9">
        <f>'3. Term Frequency (TF)'!M80 * $B80</f>
        <v/>
      </c>
      <c r="N80" s="9">
        <f>'3. Term Frequency (TF)'!N80 * $B80</f>
        <v/>
      </c>
      <c r="O80" s="9">
        <f>'3. Term Frequency (TF)'!O80 * $B80</f>
        <v/>
      </c>
      <c r="P80" s="9">
        <f>'3. Term Frequency (TF)'!P80 * $B80</f>
        <v/>
      </c>
      <c r="Q80" s="9">
        <f>'3. Term Frequency (TF)'!Q80 * $B80</f>
        <v/>
      </c>
      <c r="R80" s="10" t="n"/>
    </row>
    <row r="81">
      <c r="A81" s="7" t="inlineStr">
        <is>
          <t>serbabisa</t>
        </is>
      </c>
      <c r="B81" s="9">
        <f>LN((15+1)/('3. Term Frequency (TF)'!B81+1))+1</f>
        <v/>
      </c>
      <c r="C81" s="9">
        <f>'3. Term Frequency (TF)'!C81 * $B81</f>
        <v/>
      </c>
      <c r="D81" s="9">
        <f>'3. Term Frequency (TF)'!D81 * $B81</f>
        <v/>
      </c>
      <c r="E81" s="9">
        <f>'3. Term Frequency (TF)'!E81 * $B81</f>
        <v/>
      </c>
      <c r="F81" s="9">
        <f>'3. Term Frequency (TF)'!F81 * $B81</f>
        <v/>
      </c>
      <c r="G81" s="9">
        <f>'3. Term Frequency (TF)'!G81 * $B81</f>
        <v/>
      </c>
      <c r="H81" s="9">
        <f>'3. Term Frequency (TF)'!H81 * $B81</f>
        <v/>
      </c>
      <c r="I81" s="9">
        <f>'3. Term Frequency (TF)'!I81 * $B81</f>
        <v/>
      </c>
      <c r="J81" s="9">
        <f>'3. Term Frequency (TF)'!J81 * $B81</f>
        <v/>
      </c>
      <c r="K81" s="9">
        <f>'3. Term Frequency (TF)'!K81 * $B81</f>
        <v/>
      </c>
      <c r="L81" s="9">
        <f>'3. Term Frequency (TF)'!L81 * $B81</f>
        <v/>
      </c>
      <c r="M81" s="9">
        <f>'3. Term Frequency (TF)'!M81 * $B81</f>
        <v/>
      </c>
      <c r="N81" s="9">
        <f>'3. Term Frequency (TF)'!N81 * $B81</f>
        <v/>
      </c>
      <c r="O81" s="9">
        <f>'3. Term Frequency (TF)'!O81 * $B81</f>
        <v/>
      </c>
      <c r="P81" s="9">
        <f>'3. Term Frequency (TF)'!P81 * $B81</f>
        <v/>
      </c>
      <c r="Q81" s="9">
        <f>'3. Term Frequency (TF)'!Q81 * $B81</f>
        <v/>
      </c>
      <c r="R81" s="10" t="n"/>
    </row>
    <row r="82">
      <c r="A82" s="7" t="inlineStr">
        <is>
          <t>spesialis</t>
        </is>
      </c>
      <c r="B82" s="9">
        <f>LN((15+1)/('3. Term Frequency (TF)'!B82+1))+1</f>
        <v/>
      </c>
      <c r="C82" s="9">
        <f>'3. Term Frequency (TF)'!C82 * $B82</f>
        <v/>
      </c>
      <c r="D82" s="9">
        <f>'3. Term Frequency (TF)'!D82 * $B82</f>
        <v/>
      </c>
      <c r="E82" s="9">
        <f>'3. Term Frequency (TF)'!E82 * $B82</f>
        <v/>
      </c>
      <c r="F82" s="9">
        <f>'3. Term Frequency (TF)'!F82 * $B82</f>
        <v/>
      </c>
      <c r="G82" s="9">
        <f>'3. Term Frequency (TF)'!G82 * $B82</f>
        <v/>
      </c>
      <c r="H82" s="9">
        <f>'3. Term Frequency (TF)'!H82 * $B82</f>
        <v/>
      </c>
      <c r="I82" s="9">
        <f>'3. Term Frequency (TF)'!I82 * $B82</f>
        <v/>
      </c>
      <c r="J82" s="9">
        <f>'3. Term Frequency (TF)'!J82 * $B82</f>
        <v/>
      </c>
      <c r="K82" s="9">
        <f>'3. Term Frequency (TF)'!K82 * $B82</f>
        <v/>
      </c>
      <c r="L82" s="9">
        <f>'3. Term Frequency (TF)'!L82 * $B82</f>
        <v/>
      </c>
      <c r="M82" s="9">
        <f>'3. Term Frequency (TF)'!M82 * $B82</f>
        <v/>
      </c>
      <c r="N82" s="9">
        <f>'3. Term Frequency (TF)'!N82 * $B82</f>
        <v/>
      </c>
      <c r="O82" s="9">
        <f>'3. Term Frequency (TF)'!O82 * $B82</f>
        <v/>
      </c>
      <c r="P82" s="9">
        <f>'3. Term Frequency (TF)'!P82 * $B82</f>
        <v/>
      </c>
      <c r="Q82" s="9">
        <f>'3. Term Frequency (TF)'!Q82 * $B82</f>
        <v/>
      </c>
      <c r="R82" s="10" t="n"/>
    </row>
    <row r="83">
      <c r="A83" s="7" t="inlineStr">
        <is>
          <t>sql</t>
        </is>
      </c>
      <c r="B83" s="9">
        <f>LN((15+1)/('3. Term Frequency (TF)'!B83+1))+1</f>
        <v/>
      </c>
      <c r="C83" s="9">
        <f>'3. Term Frequency (TF)'!C83 * $B83</f>
        <v/>
      </c>
      <c r="D83" s="9">
        <f>'3. Term Frequency (TF)'!D83 * $B83</f>
        <v/>
      </c>
      <c r="E83" s="9">
        <f>'3. Term Frequency (TF)'!E83 * $B83</f>
        <v/>
      </c>
      <c r="F83" s="9">
        <f>'3. Term Frequency (TF)'!F83 * $B83</f>
        <v/>
      </c>
      <c r="G83" s="9">
        <f>'3. Term Frequency (TF)'!G83 * $B83</f>
        <v/>
      </c>
      <c r="H83" s="9">
        <f>'3. Term Frequency (TF)'!H83 * $B83</f>
        <v/>
      </c>
      <c r="I83" s="9">
        <f>'3. Term Frequency (TF)'!I83 * $B83</f>
        <v/>
      </c>
      <c r="J83" s="9">
        <f>'3. Term Frequency (TF)'!J83 * $B83</f>
        <v/>
      </c>
      <c r="K83" s="9">
        <f>'3. Term Frequency (TF)'!K83 * $B83</f>
        <v/>
      </c>
      <c r="L83" s="9">
        <f>'3. Term Frequency (TF)'!L83 * $B83</f>
        <v/>
      </c>
      <c r="M83" s="9">
        <f>'3. Term Frequency (TF)'!M83 * $B83</f>
        <v/>
      </c>
      <c r="N83" s="9">
        <f>'3. Term Frequency (TF)'!N83 * $B83</f>
        <v/>
      </c>
      <c r="O83" s="9">
        <f>'3. Term Frequency (TF)'!O83 * $B83</f>
        <v/>
      </c>
      <c r="P83" s="9">
        <f>'3. Term Frequency (TF)'!P83 * $B83</f>
        <v/>
      </c>
      <c r="Q83" s="9">
        <f>'3. Term Frequency (TF)'!Q83 * $B83</f>
        <v/>
      </c>
      <c r="R83" s="10" t="n"/>
    </row>
    <row r="84">
      <c r="A84" s="7" t="inlineStr">
        <is>
          <t>staff</t>
        </is>
      </c>
      <c r="B84" s="9">
        <f>LN((15+1)/('3. Term Frequency (TF)'!B84+1))+1</f>
        <v/>
      </c>
      <c r="C84" s="9">
        <f>'3. Term Frequency (TF)'!C84 * $B84</f>
        <v/>
      </c>
      <c r="D84" s="9">
        <f>'3. Term Frequency (TF)'!D84 * $B84</f>
        <v/>
      </c>
      <c r="E84" s="9">
        <f>'3. Term Frequency (TF)'!E84 * $B84</f>
        <v/>
      </c>
      <c r="F84" s="9">
        <f>'3. Term Frequency (TF)'!F84 * $B84</f>
        <v/>
      </c>
      <c r="G84" s="9">
        <f>'3. Term Frequency (TF)'!G84 * $B84</f>
        <v/>
      </c>
      <c r="H84" s="9">
        <f>'3. Term Frequency (TF)'!H84 * $B84</f>
        <v/>
      </c>
      <c r="I84" s="9">
        <f>'3. Term Frequency (TF)'!I84 * $B84</f>
        <v/>
      </c>
      <c r="J84" s="9">
        <f>'3. Term Frequency (TF)'!J84 * $B84</f>
        <v/>
      </c>
      <c r="K84" s="9">
        <f>'3. Term Frequency (TF)'!K84 * $B84</f>
        <v/>
      </c>
      <c r="L84" s="9">
        <f>'3. Term Frequency (TF)'!L84 * $B84</f>
        <v/>
      </c>
      <c r="M84" s="9">
        <f>'3. Term Frequency (TF)'!M84 * $B84</f>
        <v/>
      </c>
      <c r="N84" s="9">
        <f>'3. Term Frequency (TF)'!N84 * $B84</f>
        <v/>
      </c>
      <c r="O84" s="9">
        <f>'3. Term Frequency (TF)'!O84 * $B84</f>
        <v/>
      </c>
      <c r="P84" s="9">
        <f>'3. Term Frequency (TF)'!P84 * $B84</f>
        <v/>
      </c>
      <c r="Q84" s="9">
        <f>'3. Term Frequency (TF)'!Q84 * $B84</f>
        <v/>
      </c>
      <c r="R84" s="10" t="n"/>
    </row>
    <row r="85">
      <c r="A85" s="7" t="inlineStr">
        <is>
          <t>statistik</t>
        </is>
      </c>
      <c r="B85" s="9">
        <f>LN((15+1)/('3. Term Frequency (TF)'!B85+1))+1</f>
        <v/>
      </c>
      <c r="C85" s="9">
        <f>'3. Term Frequency (TF)'!C85 * $B85</f>
        <v/>
      </c>
      <c r="D85" s="9">
        <f>'3. Term Frequency (TF)'!D85 * $B85</f>
        <v/>
      </c>
      <c r="E85" s="9">
        <f>'3. Term Frequency (TF)'!E85 * $B85</f>
        <v/>
      </c>
      <c r="F85" s="9">
        <f>'3. Term Frequency (TF)'!F85 * $B85</f>
        <v/>
      </c>
      <c r="G85" s="9">
        <f>'3. Term Frequency (TF)'!G85 * $B85</f>
        <v/>
      </c>
      <c r="H85" s="9">
        <f>'3. Term Frequency (TF)'!H85 * $B85</f>
        <v/>
      </c>
      <c r="I85" s="9">
        <f>'3. Term Frequency (TF)'!I85 * $B85</f>
        <v/>
      </c>
      <c r="J85" s="9">
        <f>'3. Term Frequency (TF)'!J85 * $B85</f>
        <v/>
      </c>
      <c r="K85" s="9">
        <f>'3. Term Frequency (TF)'!K85 * $B85</f>
        <v/>
      </c>
      <c r="L85" s="9">
        <f>'3. Term Frequency (TF)'!L85 * $B85</f>
        <v/>
      </c>
      <c r="M85" s="9">
        <f>'3. Term Frequency (TF)'!M85 * $B85</f>
        <v/>
      </c>
      <c r="N85" s="9">
        <f>'3. Term Frequency (TF)'!N85 * $B85</f>
        <v/>
      </c>
      <c r="O85" s="9">
        <f>'3. Term Frequency (TF)'!O85 * $B85</f>
        <v/>
      </c>
      <c r="P85" s="9">
        <f>'3. Term Frequency (TF)'!P85 * $B85</f>
        <v/>
      </c>
      <c r="Q85" s="9">
        <f>'3. Term Frequency (TF)'!Q85 * $B85</f>
        <v/>
      </c>
      <c r="R85" s="10" t="n"/>
    </row>
    <row r="86">
      <c r="A86" s="7" t="inlineStr">
        <is>
          <t>statistika</t>
        </is>
      </c>
      <c r="B86" s="9">
        <f>LN((15+1)/('3. Term Frequency (TF)'!B86+1))+1</f>
        <v/>
      </c>
      <c r="C86" s="9">
        <f>'3. Term Frequency (TF)'!C86 * $B86</f>
        <v/>
      </c>
      <c r="D86" s="9">
        <f>'3. Term Frequency (TF)'!D86 * $B86</f>
        <v/>
      </c>
      <c r="E86" s="9">
        <f>'3. Term Frequency (TF)'!E86 * $B86</f>
        <v/>
      </c>
      <c r="F86" s="9">
        <f>'3. Term Frequency (TF)'!F86 * $B86</f>
        <v/>
      </c>
      <c r="G86" s="9">
        <f>'3. Term Frequency (TF)'!G86 * $B86</f>
        <v/>
      </c>
      <c r="H86" s="9">
        <f>'3. Term Frequency (TF)'!H86 * $B86</f>
        <v/>
      </c>
      <c r="I86" s="9">
        <f>'3. Term Frequency (TF)'!I86 * $B86</f>
        <v/>
      </c>
      <c r="J86" s="9">
        <f>'3. Term Frequency (TF)'!J86 * $B86</f>
        <v/>
      </c>
      <c r="K86" s="9">
        <f>'3. Term Frequency (TF)'!K86 * $B86</f>
        <v/>
      </c>
      <c r="L86" s="9">
        <f>'3. Term Frequency (TF)'!L86 * $B86</f>
        <v/>
      </c>
      <c r="M86" s="9">
        <f>'3. Term Frequency (TF)'!M86 * $B86</f>
        <v/>
      </c>
      <c r="N86" s="9">
        <f>'3. Term Frequency (TF)'!N86 * $B86</f>
        <v/>
      </c>
      <c r="O86" s="9">
        <f>'3. Term Frequency (TF)'!O86 * $B86</f>
        <v/>
      </c>
      <c r="P86" s="9">
        <f>'3. Term Frequency (TF)'!P86 * $B86</f>
        <v/>
      </c>
      <c r="Q86" s="9">
        <f>'3. Term Frequency (TF)'!Q86 * $B86</f>
        <v/>
      </c>
      <c r="R86" s="10" t="n"/>
    </row>
    <row r="87">
      <c r="A87" s="7" t="inlineStr">
        <is>
          <t>susun</t>
        </is>
      </c>
      <c r="B87" s="9">
        <f>LN((15+1)/('3. Term Frequency (TF)'!B87+1))+1</f>
        <v/>
      </c>
      <c r="C87" s="9">
        <f>'3. Term Frequency (TF)'!C87 * $B87</f>
        <v/>
      </c>
      <c r="D87" s="9">
        <f>'3. Term Frequency (TF)'!D87 * $B87</f>
        <v/>
      </c>
      <c r="E87" s="9">
        <f>'3. Term Frequency (TF)'!E87 * $B87</f>
        <v/>
      </c>
      <c r="F87" s="9">
        <f>'3. Term Frequency (TF)'!F87 * $B87</f>
        <v/>
      </c>
      <c r="G87" s="9">
        <f>'3. Term Frequency (TF)'!G87 * $B87</f>
        <v/>
      </c>
      <c r="H87" s="9">
        <f>'3. Term Frequency (TF)'!H87 * $B87</f>
        <v/>
      </c>
      <c r="I87" s="9">
        <f>'3. Term Frequency (TF)'!I87 * $B87</f>
        <v/>
      </c>
      <c r="J87" s="9">
        <f>'3. Term Frequency (TF)'!J87 * $B87</f>
        <v/>
      </c>
      <c r="K87" s="9">
        <f>'3. Term Frequency (TF)'!K87 * $B87</f>
        <v/>
      </c>
      <c r="L87" s="9">
        <f>'3. Term Frequency (TF)'!L87 * $B87</f>
        <v/>
      </c>
      <c r="M87" s="9">
        <f>'3. Term Frequency (TF)'!M87 * $B87</f>
        <v/>
      </c>
      <c r="N87" s="9">
        <f>'3. Term Frequency (TF)'!N87 * $B87</f>
        <v/>
      </c>
      <c r="O87" s="9">
        <f>'3. Term Frequency (TF)'!O87 * $B87</f>
        <v/>
      </c>
      <c r="P87" s="9">
        <f>'3. Term Frequency (TF)'!P87 * $B87</f>
        <v/>
      </c>
      <c r="Q87" s="9">
        <f>'3. Term Frequency (TF)'!Q87 * $B87</f>
        <v/>
      </c>
      <c r="R87" s="10" t="n"/>
    </row>
    <row r="88">
      <c r="A88" s="7" t="inlineStr">
        <is>
          <t>tingkat</t>
        </is>
      </c>
      <c r="B88" s="9">
        <f>LN((15+1)/('3. Term Frequency (TF)'!B88+1))+1</f>
        <v/>
      </c>
      <c r="C88" s="9">
        <f>'3. Term Frequency (TF)'!C88 * $B88</f>
        <v/>
      </c>
      <c r="D88" s="9">
        <f>'3. Term Frequency (TF)'!D88 * $B88</f>
        <v/>
      </c>
      <c r="E88" s="9">
        <f>'3. Term Frequency (TF)'!E88 * $B88</f>
        <v/>
      </c>
      <c r="F88" s="9">
        <f>'3. Term Frequency (TF)'!F88 * $B88</f>
        <v/>
      </c>
      <c r="G88" s="9">
        <f>'3. Term Frequency (TF)'!G88 * $B88</f>
        <v/>
      </c>
      <c r="H88" s="9">
        <f>'3. Term Frequency (TF)'!H88 * $B88</f>
        <v/>
      </c>
      <c r="I88" s="9">
        <f>'3. Term Frequency (TF)'!I88 * $B88</f>
        <v/>
      </c>
      <c r="J88" s="9">
        <f>'3. Term Frequency (TF)'!J88 * $B88</f>
        <v/>
      </c>
      <c r="K88" s="9">
        <f>'3. Term Frequency (TF)'!K88 * $B88</f>
        <v/>
      </c>
      <c r="L88" s="9">
        <f>'3. Term Frequency (TF)'!L88 * $B88</f>
        <v/>
      </c>
      <c r="M88" s="9">
        <f>'3. Term Frequency (TF)'!M88 * $B88</f>
        <v/>
      </c>
      <c r="N88" s="9">
        <f>'3. Term Frequency (TF)'!N88 * $B88</f>
        <v/>
      </c>
      <c r="O88" s="9">
        <f>'3. Term Frequency (TF)'!O88 * $B88</f>
        <v/>
      </c>
      <c r="P88" s="9">
        <f>'3. Term Frequency (TF)'!P88 * $B88</f>
        <v/>
      </c>
      <c r="Q88" s="9">
        <f>'3. Term Frequency (TF)'!Q88 * $B88</f>
        <v/>
      </c>
      <c r="R88" s="10" t="n"/>
    </row>
    <row r="89">
      <c r="A89" s="7" t="inlineStr">
        <is>
          <t>uang</t>
        </is>
      </c>
      <c r="B89" s="9">
        <f>LN((15+1)/('3. Term Frequency (TF)'!B89+1))+1</f>
        <v/>
      </c>
      <c r="C89" s="9">
        <f>'3. Term Frequency (TF)'!C89 * $B89</f>
        <v/>
      </c>
      <c r="D89" s="9">
        <f>'3. Term Frequency (TF)'!D89 * $B89</f>
        <v/>
      </c>
      <c r="E89" s="9">
        <f>'3. Term Frequency (TF)'!E89 * $B89</f>
        <v/>
      </c>
      <c r="F89" s="9">
        <f>'3. Term Frequency (TF)'!F89 * $B89</f>
        <v/>
      </c>
      <c r="G89" s="9">
        <f>'3. Term Frequency (TF)'!G89 * $B89</f>
        <v/>
      </c>
      <c r="H89" s="9">
        <f>'3. Term Frequency (TF)'!H89 * $B89</f>
        <v/>
      </c>
      <c r="I89" s="9">
        <f>'3. Term Frequency (TF)'!I89 * $B89</f>
        <v/>
      </c>
      <c r="J89" s="9">
        <f>'3. Term Frequency (TF)'!J89 * $B89</f>
        <v/>
      </c>
      <c r="K89" s="9">
        <f>'3. Term Frequency (TF)'!K89 * $B89</f>
        <v/>
      </c>
      <c r="L89" s="9">
        <f>'3. Term Frequency (TF)'!L89 * $B89</f>
        <v/>
      </c>
      <c r="M89" s="9">
        <f>'3. Term Frequency (TF)'!M89 * $B89</f>
        <v/>
      </c>
      <c r="N89" s="9">
        <f>'3. Term Frequency (TF)'!N89 * $B89</f>
        <v/>
      </c>
      <c r="O89" s="9">
        <f>'3. Term Frequency (TF)'!O89 * $B89</f>
        <v/>
      </c>
      <c r="P89" s="9">
        <f>'3. Term Frequency (TF)'!P89 * $B89</f>
        <v/>
      </c>
      <c r="Q89" s="9">
        <f>'3. Term Frequency (TF)'!Q89 * $B89</f>
        <v/>
      </c>
      <c r="R89" s="10" t="n"/>
    </row>
    <row r="90">
      <c r="A90" s="7" t="inlineStr">
        <is>
          <t>ui</t>
        </is>
      </c>
      <c r="B90" s="9">
        <f>LN((15+1)/('3. Term Frequency (TF)'!B90+1))+1</f>
        <v/>
      </c>
      <c r="C90" s="9">
        <f>'3. Term Frequency (TF)'!C90 * $B90</f>
        <v/>
      </c>
      <c r="D90" s="9">
        <f>'3. Term Frequency (TF)'!D90 * $B90</f>
        <v/>
      </c>
      <c r="E90" s="9">
        <f>'3. Term Frequency (TF)'!E90 * $B90</f>
        <v/>
      </c>
      <c r="F90" s="9">
        <f>'3. Term Frequency (TF)'!F90 * $B90</f>
        <v/>
      </c>
      <c r="G90" s="9">
        <f>'3. Term Frequency (TF)'!G90 * $B90</f>
        <v/>
      </c>
      <c r="H90" s="9">
        <f>'3. Term Frequency (TF)'!H90 * $B90</f>
        <v/>
      </c>
      <c r="I90" s="9">
        <f>'3. Term Frequency (TF)'!I90 * $B90</f>
        <v/>
      </c>
      <c r="J90" s="9">
        <f>'3. Term Frequency (TF)'!J90 * $B90</f>
        <v/>
      </c>
      <c r="K90" s="9">
        <f>'3. Term Frequency (TF)'!K90 * $B90</f>
        <v/>
      </c>
      <c r="L90" s="9">
        <f>'3. Term Frequency (TF)'!L90 * $B90</f>
        <v/>
      </c>
      <c r="M90" s="9">
        <f>'3. Term Frequency (TF)'!M90 * $B90</f>
        <v/>
      </c>
      <c r="N90" s="9">
        <f>'3. Term Frequency (TF)'!N90 * $B90</f>
        <v/>
      </c>
      <c r="O90" s="9">
        <f>'3. Term Frequency (TF)'!O90 * $B90</f>
        <v/>
      </c>
      <c r="P90" s="9">
        <f>'3. Term Frequency (TF)'!P90 * $B90</f>
        <v/>
      </c>
      <c r="Q90" s="9">
        <f>'3. Term Frequency (TF)'!Q90 * $B90</f>
        <v/>
      </c>
      <c r="R90" s="10" t="n"/>
    </row>
    <row r="91">
      <c r="A91" s="7" t="inlineStr">
        <is>
          <t>ux</t>
        </is>
      </c>
      <c r="B91" s="9">
        <f>LN((15+1)/('3. Term Frequency (TF)'!B91+1))+1</f>
        <v/>
      </c>
      <c r="C91" s="9">
        <f>'3. Term Frequency (TF)'!C91 * $B91</f>
        <v/>
      </c>
      <c r="D91" s="9">
        <f>'3. Term Frequency (TF)'!D91 * $B91</f>
        <v/>
      </c>
      <c r="E91" s="9">
        <f>'3. Term Frequency (TF)'!E91 * $B91</f>
        <v/>
      </c>
      <c r="F91" s="9">
        <f>'3. Term Frequency (TF)'!F91 * $B91</f>
        <v/>
      </c>
      <c r="G91" s="9">
        <f>'3. Term Frequency (TF)'!G91 * $B91</f>
        <v/>
      </c>
      <c r="H91" s="9">
        <f>'3. Term Frequency (TF)'!H91 * $B91</f>
        <v/>
      </c>
      <c r="I91" s="9">
        <f>'3. Term Frequency (TF)'!I91 * $B91</f>
        <v/>
      </c>
      <c r="J91" s="9">
        <f>'3. Term Frequency (TF)'!J91 * $B91</f>
        <v/>
      </c>
      <c r="K91" s="9">
        <f>'3. Term Frequency (TF)'!K91 * $B91</f>
        <v/>
      </c>
      <c r="L91" s="9">
        <f>'3. Term Frequency (TF)'!L91 * $B91</f>
        <v/>
      </c>
      <c r="M91" s="9">
        <f>'3. Term Frequency (TF)'!M91 * $B91</f>
        <v/>
      </c>
      <c r="N91" s="9">
        <f>'3. Term Frequency (TF)'!N91 * $B91</f>
        <v/>
      </c>
      <c r="O91" s="9">
        <f>'3. Term Frequency (TF)'!O91 * $B91</f>
        <v/>
      </c>
      <c r="P91" s="9">
        <f>'3. Term Frequency (TF)'!P91 * $B91</f>
        <v/>
      </c>
      <c r="Q91" s="9">
        <f>'3. Term Frequency (TF)'!Q91 * $B91</f>
        <v/>
      </c>
      <c r="R91" s="10" t="n"/>
    </row>
    <row r="92">
      <c r="A92" s="7" t="inlineStr">
        <is>
          <t>web</t>
        </is>
      </c>
      <c r="B92" s="9">
        <f>LN((15+1)/('3. Term Frequency (TF)'!B92+1))+1</f>
        <v/>
      </c>
      <c r="C92" s="9">
        <f>'3. Term Frequency (TF)'!C92 * $B92</f>
        <v/>
      </c>
      <c r="D92" s="9">
        <f>'3. Term Frequency (TF)'!D92 * $B92</f>
        <v/>
      </c>
      <c r="E92" s="9">
        <f>'3. Term Frequency (TF)'!E92 * $B92</f>
        <v/>
      </c>
      <c r="F92" s="9">
        <f>'3. Term Frequency (TF)'!F92 * $B92</f>
        <v/>
      </c>
      <c r="G92" s="9">
        <f>'3. Term Frequency (TF)'!G92 * $B92</f>
        <v/>
      </c>
      <c r="H92" s="9">
        <f>'3. Term Frequency (TF)'!H92 * $B92</f>
        <v/>
      </c>
      <c r="I92" s="9">
        <f>'3. Term Frequency (TF)'!I92 * $B92</f>
        <v/>
      </c>
      <c r="J92" s="9">
        <f>'3. Term Frequency (TF)'!J92 * $B92</f>
        <v/>
      </c>
      <c r="K92" s="9">
        <f>'3. Term Frequency (TF)'!K92 * $B92</f>
        <v/>
      </c>
      <c r="L92" s="9">
        <f>'3. Term Frequency (TF)'!L92 * $B92</f>
        <v/>
      </c>
      <c r="M92" s="9">
        <f>'3. Term Frequency (TF)'!M92 * $B92</f>
        <v/>
      </c>
      <c r="N92" s="9">
        <f>'3. Term Frequency (TF)'!N92 * $B92</f>
        <v/>
      </c>
      <c r="O92" s="9">
        <f>'3. Term Frequency (TF)'!O92 * $B92</f>
        <v/>
      </c>
      <c r="P92" s="9">
        <f>'3. Term Frequency (TF)'!P92 * $B92</f>
        <v/>
      </c>
      <c r="Q92" s="9">
        <f>'3. Term Frequency (TF)'!Q92 * $B92</f>
        <v/>
      </c>
      <c r="R92" s="10" t="n"/>
    </row>
    <row r="93">
      <c r="A93" s="7" t="inlineStr">
        <is>
          <t>wireframing</t>
        </is>
      </c>
      <c r="B93" s="9">
        <f>LN((15+1)/('3. Term Frequency (TF)'!B93+1))+1</f>
        <v/>
      </c>
      <c r="C93" s="9">
        <f>'3. Term Frequency (TF)'!C93 * $B93</f>
        <v/>
      </c>
      <c r="D93" s="9">
        <f>'3. Term Frequency (TF)'!D93 * $B93</f>
        <v/>
      </c>
      <c r="E93" s="9">
        <f>'3. Term Frequency (TF)'!E93 * $B93</f>
        <v/>
      </c>
      <c r="F93" s="9">
        <f>'3. Term Frequency (TF)'!F93 * $B93</f>
        <v/>
      </c>
      <c r="G93" s="9">
        <f>'3. Term Frequency (TF)'!G93 * $B93</f>
        <v/>
      </c>
      <c r="H93" s="9">
        <f>'3. Term Frequency (TF)'!H93 * $B93</f>
        <v/>
      </c>
      <c r="I93" s="9">
        <f>'3. Term Frequency (TF)'!I93 * $B93</f>
        <v/>
      </c>
      <c r="J93" s="9">
        <f>'3. Term Frequency (TF)'!J93 * $B93</f>
        <v/>
      </c>
      <c r="K93" s="9">
        <f>'3. Term Frequency (TF)'!K93 * $B93</f>
        <v/>
      </c>
      <c r="L93" s="9">
        <f>'3. Term Frequency (TF)'!L93 * $B93</f>
        <v/>
      </c>
      <c r="M93" s="9">
        <f>'3. Term Frequency (TF)'!M93 * $B93</f>
        <v/>
      </c>
      <c r="N93" s="9">
        <f>'3. Term Frequency (TF)'!N93 * $B93</f>
        <v/>
      </c>
      <c r="O93" s="9">
        <f>'3. Term Frequency (TF)'!O93 * $B93</f>
        <v/>
      </c>
      <c r="P93" s="9">
        <f>'3. Term Frequency (TF)'!P93 * $B93</f>
        <v/>
      </c>
      <c r="Q93" s="9">
        <f>'3. Term Frequency (TF)'!Q93 * $B93</f>
        <v/>
      </c>
      <c r="R93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Kalkulasi Cosine Similarity &amp; Matriks Akhir</t>
        </is>
      </c>
    </row>
    <row r="3">
      <c r="A3" s="2" t="inlineStr">
        <is>
          <t>Kombinasi</t>
        </is>
      </c>
      <c r="B3" s="2" t="inlineStr">
        <is>
          <t>Lowongan</t>
        </is>
      </c>
      <c r="C3" s="2" t="inlineStr">
        <is>
          <t>Profil</t>
        </is>
      </c>
      <c r="D3" s="2" t="inlineStr">
        <is>
          <t>Dot Product (A•B)</t>
        </is>
      </c>
      <c r="E3" s="2" t="inlineStr">
        <is>
          <t>||A||</t>
        </is>
      </c>
      <c r="F3" s="2" t="inlineStr">
        <is>
          <t>||B||</t>
        </is>
      </c>
      <c r="G3" s="2" t="inlineStr">
        <is>
          <t>Cosine</t>
        </is>
      </c>
      <c r="H3" s="2" t="inlineStr">
        <is>
          <t>Persentase (%)</t>
        </is>
      </c>
    </row>
    <row r="4">
      <c r="A4" s="7" t="inlineStr">
        <is>
          <t>L1 - P1</t>
        </is>
      </c>
      <c r="B4" s="3" t="inlineStr">
        <is>
          <t>L1</t>
        </is>
      </c>
      <c r="C4" s="3" t="inlineStr">
        <is>
          <t>P1</t>
        </is>
      </c>
      <c r="D4" s="10">
        <f>SUMPRODUCT('4. TF-IDF'!C$4:C$93, '4. TF-IDF'!H$4:H$93)</f>
        <v/>
      </c>
      <c r="E4" s="10">
        <f>SQRT(SUMSQ('4. TF-IDF'!C$4:C$93))</f>
        <v/>
      </c>
      <c r="F4" s="10">
        <f>SQRT(SUMSQ('4. TF-IDF'!H$4:H$93))</f>
        <v/>
      </c>
      <c r="G4" s="10">
        <f>IF(OR(E4=0, F4=0), 0, D4/(E4*F4))</f>
        <v/>
      </c>
      <c r="H4" s="11">
        <f>G4</f>
        <v/>
      </c>
    </row>
    <row r="5">
      <c r="A5" s="7" t="inlineStr">
        <is>
          <t>L1 - P2</t>
        </is>
      </c>
      <c r="B5" s="3" t="inlineStr">
        <is>
          <t>L1</t>
        </is>
      </c>
      <c r="C5" s="3" t="inlineStr">
        <is>
          <t>P2</t>
        </is>
      </c>
      <c r="D5" s="10">
        <f>SUMPRODUCT('4. TF-IDF'!C$4:C$93, '4. TF-IDF'!I$4:I$93)</f>
        <v/>
      </c>
      <c r="E5" s="10">
        <f>SQRT(SUMSQ('4. TF-IDF'!C$4:C$93))</f>
        <v/>
      </c>
      <c r="F5" s="10">
        <f>SQRT(SUMSQ('4. TF-IDF'!I$4:I$93))</f>
        <v/>
      </c>
      <c r="G5" s="10">
        <f>IF(OR(E5=0, F5=0), 0, D5/(E5*F5))</f>
        <v/>
      </c>
      <c r="H5" s="11">
        <f>G5</f>
        <v/>
      </c>
    </row>
    <row r="6">
      <c r="A6" s="7" t="inlineStr">
        <is>
          <t>L1 - P3</t>
        </is>
      </c>
      <c r="B6" s="3" t="inlineStr">
        <is>
          <t>L1</t>
        </is>
      </c>
      <c r="C6" s="3" t="inlineStr">
        <is>
          <t>P3</t>
        </is>
      </c>
      <c r="D6" s="10">
        <f>SUMPRODUCT('4. TF-IDF'!C$4:C$93, '4. TF-IDF'!J$4:J$93)</f>
        <v/>
      </c>
      <c r="E6" s="10">
        <f>SQRT(SUMSQ('4. TF-IDF'!C$4:C$93))</f>
        <v/>
      </c>
      <c r="F6" s="10">
        <f>SQRT(SUMSQ('4. TF-IDF'!J$4:J$93))</f>
        <v/>
      </c>
      <c r="G6" s="10">
        <f>IF(OR(E6=0, F6=0), 0, D6/(E6*F6))</f>
        <v/>
      </c>
      <c r="H6" s="11">
        <f>G6</f>
        <v/>
      </c>
    </row>
    <row r="7">
      <c r="A7" s="7" t="inlineStr">
        <is>
          <t>L1 - P4</t>
        </is>
      </c>
      <c r="B7" s="3" t="inlineStr">
        <is>
          <t>L1</t>
        </is>
      </c>
      <c r="C7" s="3" t="inlineStr">
        <is>
          <t>P4</t>
        </is>
      </c>
      <c r="D7" s="10">
        <f>SUMPRODUCT('4. TF-IDF'!C$4:C$93, '4. TF-IDF'!K$4:K$93)</f>
        <v/>
      </c>
      <c r="E7" s="10">
        <f>SQRT(SUMSQ('4. TF-IDF'!C$4:C$93))</f>
        <v/>
      </c>
      <c r="F7" s="10">
        <f>SQRT(SUMSQ('4. TF-IDF'!K$4:K$93))</f>
        <v/>
      </c>
      <c r="G7" s="10">
        <f>IF(OR(E7=0, F7=0), 0, D7/(E7*F7))</f>
        <v/>
      </c>
      <c r="H7" s="11">
        <f>G7</f>
        <v/>
      </c>
    </row>
    <row r="8">
      <c r="A8" s="7" t="inlineStr">
        <is>
          <t>L1 - P5</t>
        </is>
      </c>
      <c r="B8" s="3" t="inlineStr">
        <is>
          <t>L1</t>
        </is>
      </c>
      <c r="C8" s="3" t="inlineStr">
        <is>
          <t>P5</t>
        </is>
      </c>
      <c r="D8" s="10">
        <f>SUMPRODUCT('4. TF-IDF'!C$4:C$93, '4. TF-IDF'!L$4:L$93)</f>
        <v/>
      </c>
      <c r="E8" s="10">
        <f>SQRT(SUMSQ('4. TF-IDF'!C$4:C$93))</f>
        <v/>
      </c>
      <c r="F8" s="10">
        <f>SQRT(SUMSQ('4. TF-IDF'!L$4:L$93))</f>
        <v/>
      </c>
      <c r="G8" s="10">
        <f>IF(OR(E8=0, F8=0), 0, D8/(E8*F8))</f>
        <v/>
      </c>
      <c r="H8" s="11">
        <f>G8</f>
        <v/>
      </c>
    </row>
    <row r="9">
      <c r="A9" s="7" t="inlineStr">
        <is>
          <t>L1 - P6</t>
        </is>
      </c>
      <c r="B9" s="3" t="inlineStr">
        <is>
          <t>L1</t>
        </is>
      </c>
      <c r="C9" s="3" t="inlineStr">
        <is>
          <t>P6</t>
        </is>
      </c>
      <c r="D9" s="10">
        <f>SUMPRODUCT('4. TF-IDF'!C$4:C$93, '4. TF-IDF'!M$4:M$93)</f>
        <v/>
      </c>
      <c r="E9" s="10">
        <f>SQRT(SUMSQ('4. TF-IDF'!C$4:C$93))</f>
        <v/>
      </c>
      <c r="F9" s="10">
        <f>SQRT(SUMSQ('4. TF-IDF'!M$4:M$93))</f>
        <v/>
      </c>
      <c r="G9" s="10">
        <f>IF(OR(E9=0, F9=0), 0, D9/(E9*F9))</f>
        <v/>
      </c>
      <c r="H9" s="11">
        <f>G9</f>
        <v/>
      </c>
    </row>
    <row r="10">
      <c r="A10" s="7" t="inlineStr">
        <is>
          <t>L1 - P7</t>
        </is>
      </c>
      <c r="B10" s="3" t="inlineStr">
        <is>
          <t>L1</t>
        </is>
      </c>
      <c r="C10" s="3" t="inlineStr">
        <is>
          <t>P7</t>
        </is>
      </c>
      <c r="D10" s="10">
        <f>SUMPRODUCT('4. TF-IDF'!C$4:C$93, '4. TF-IDF'!N$4:N$93)</f>
        <v/>
      </c>
      <c r="E10" s="10">
        <f>SQRT(SUMSQ('4. TF-IDF'!C$4:C$93))</f>
        <v/>
      </c>
      <c r="F10" s="10">
        <f>SQRT(SUMSQ('4. TF-IDF'!N$4:N$93))</f>
        <v/>
      </c>
      <c r="G10" s="10">
        <f>IF(OR(E10=0, F10=0), 0, D10/(E10*F10))</f>
        <v/>
      </c>
      <c r="H10" s="11">
        <f>G10</f>
        <v/>
      </c>
    </row>
    <row r="11">
      <c r="A11" s="7" t="inlineStr">
        <is>
          <t>L1 - P8</t>
        </is>
      </c>
      <c r="B11" s="3" t="inlineStr">
        <is>
          <t>L1</t>
        </is>
      </c>
      <c r="C11" s="3" t="inlineStr">
        <is>
          <t>P8</t>
        </is>
      </c>
      <c r="D11" s="10">
        <f>SUMPRODUCT('4. TF-IDF'!C$4:C$93, '4. TF-IDF'!O$4:O$93)</f>
        <v/>
      </c>
      <c r="E11" s="10">
        <f>SQRT(SUMSQ('4. TF-IDF'!C$4:C$93))</f>
        <v/>
      </c>
      <c r="F11" s="10">
        <f>SQRT(SUMSQ('4. TF-IDF'!O$4:O$93))</f>
        <v/>
      </c>
      <c r="G11" s="10">
        <f>IF(OR(E11=0, F11=0), 0, D11/(E11*F11))</f>
        <v/>
      </c>
      <c r="H11" s="11">
        <f>G11</f>
        <v/>
      </c>
    </row>
    <row r="12">
      <c r="A12" s="7" t="inlineStr">
        <is>
          <t>L1 - P9</t>
        </is>
      </c>
      <c r="B12" s="3" t="inlineStr">
        <is>
          <t>L1</t>
        </is>
      </c>
      <c r="C12" s="3" t="inlineStr">
        <is>
          <t>P9</t>
        </is>
      </c>
      <c r="D12" s="10">
        <f>SUMPRODUCT('4. TF-IDF'!C$4:C$93, '4. TF-IDF'!P$4:P$93)</f>
        <v/>
      </c>
      <c r="E12" s="10">
        <f>SQRT(SUMSQ('4. TF-IDF'!C$4:C$93))</f>
        <v/>
      </c>
      <c r="F12" s="10">
        <f>SQRT(SUMSQ('4. TF-IDF'!P$4:P$93))</f>
        <v/>
      </c>
      <c r="G12" s="10">
        <f>IF(OR(E12=0, F12=0), 0, D12/(E12*F12))</f>
        <v/>
      </c>
      <c r="H12" s="11">
        <f>G12</f>
        <v/>
      </c>
    </row>
    <row r="13">
      <c r="A13" s="7" t="inlineStr">
        <is>
          <t>L1 - P10</t>
        </is>
      </c>
      <c r="B13" s="3" t="inlineStr">
        <is>
          <t>L1</t>
        </is>
      </c>
      <c r="C13" s="3" t="inlineStr">
        <is>
          <t>P10</t>
        </is>
      </c>
      <c r="D13" s="10">
        <f>SUMPRODUCT('4. TF-IDF'!C$4:C$93, '4. TF-IDF'!Q$4:Q$93)</f>
        <v/>
      </c>
      <c r="E13" s="10">
        <f>SQRT(SUMSQ('4. TF-IDF'!C$4:C$93))</f>
        <v/>
      </c>
      <c r="F13" s="10">
        <f>SQRT(SUMSQ('4. TF-IDF'!Q$4:Q$93))</f>
        <v/>
      </c>
      <c r="G13" s="10">
        <f>IF(OR(E13=0, F13=0), 0, D13/(E13*F13))</f>
        <v/>
      </c>
      <c r="H13" s="11">
        <f>G13</f>
        <v/>
      </c>
    </row>
    <row r="14">
      <c r="A14" s="7" t="inlineStr">
        <is>
          <t>L2 - P1</t>
        </is>
      </c>
      <c r="B14" s="3" t="inlineStr">
        <is>
          <t>L2</t>
        </is>
      </c>
      <c r="C14" s="3" t="inlineStr">
        <is>
          <t>P1</t>
        </is>
      </c>
      <c r="D14" s="10">
        <f>SUMPRODUCT('4. TF-IDF'!D$4:D$93, '4. TF-IDF'!H$4:H$93)</f>
        <v/>
      </c>
      <c r="E14" s="10">
        <f>SQRT(SUMSQ('4. TF-IDF'!D$4:D$93))</f>
        <v/>
      </c>
      <c r="F14" s="10">
        <f>SQRT(SUMSQ('4. TF-IDF'!H$4:H$93))</f>
        <v/>
      </c>
      <c r="G14" s="10">
        <f>IF(OR(E14=0, F14=0), 0, D14/(E14*F14))</f>
        <v/>
      </c>
      <c r="H14" s="11">
        <f>G14</f>
        <v/>
      </c>
    </row>
    <row r="15">
      <c r="A15" s="7" t="inlineStr">
        <is>
          <t>L2 - P2</t>
        </is>
      </c>
      <c r="B15" s="3" t="inlineStr">
        <is>
          <t>L2</t>
        </is>
      </c>
      <c r="C15" s="3" t="inlineStr">
        <is>
          <t>P2</t>
        </is>
      </c>
      <c r="D15" s="10">
        <f>SUMPRODUCT('4. TF-IDF'!D$4:D$93, '4. TF-IDF'!I$4:I$93)</f>
        <v/>
      </c>
      <c r="E15" s="10">
        <f>SQRT(SUMSQ('4. TF-IDF'!D$4:D$93))</f>
        <v/>
      </c>
      <c r="F15" s="10">
        <f>SQRT(SUMSQ('4. TF-IDF'!I$4:I$93))</f>
        <v/>
      </c>
      <c r="G15" s="10">
        <f>IF(OR(E15=0, F15=0), 0, D15/(E15*F15))</f>
        <v/>
      </c>
      <c r="H15" s="11">
        <f>G15</f>
        <v/>
      </c>
    </row>
    <row r="16">
      <c r="A16" s="7" t="inlineStr">
        <is>
          <t>L2 - P3</t>
        </is>
      </c>
      <c r="B16" s="3" t="inlineStr">
        <is>
          <t>L2</t>
        </is>
      </c>
      <c r="C16" s="3" t="inlineStr">
        <is>
          <t>P3</t>
        </is>
      </c>
      <c r="D16" s="10">
        <f>SUMPRODUCT('4. TF-IDF'!D$4:D$93, '4. TF-IDF'!J$4:J$93)</f>
        <v/>
      </c>
      <c r="E16" s="10">
        <f>SQRT(SUMSQ('4. TF-IDF'!D$4:D$93))</f>
        <v/>
      </c>
      <c r="F16" s="10">
        <f>SQRT(SUMSQ('4. TF-IDF'!J$4:J$93))</f>
        <v/>
      </c>
      <c r="G16" s="10">
        <f>IF(OR(E16=0, F16=0), 0, D16/(E16*F16))</f>
        <v/>
      </c>
      <c r="H16" s="11">
        <f>G16</f>
        <v/>
      </c>
    </row>
    <row r="17">
      <c r="A17" s="7" t="inlineStr">
        <is>
          <t>L2 - P4</t>
        </is>
      </c>
      <c r="B17" s="3" t="inlineStr">
        <is>
          <t>L2</t>
        </is>
      </c>
      <c r="C17" s="3" t="inlineStr">
        <is>
          <t>P4</t>
        </is>
      </c>
      <c r="D17" s="10">
        <f>SUMPRODUCT('4. TF-IDF'!D$4:D$93, '4. TF-IDF'!K$4:K$93)</f>
        <v/>
      </c>
      <c r="E17" s="10">
        <f>SQRT(SUMSQ('4. TF-IDF'!D$4:D$93))</f>
        <v/>
      </c>
      <c r="F17" s="10">
        <f>SQRT(SUMSQ('4. TF-IDF'!K$4:K$93))</f>
        <v/>
      </c>
      <c r="G17" s="10">
        <f>IF(OR(E17=0, F17=0), 0, D17/(E17*F17))</f>
        <v/>
      </c>
      <c r="H17" s="11">
        <f>G17</f>
        <v/>
      </c>
    </row>
    <row r="18">
      <c r="A18" s="7" t="inlineStr">
        <is>
          <t>L2 - P5</t>
        </is>
      </c>
      <c r="B18" s="3" t="inlineStr">
        <is>
          <t>L2</t>
        </is>
      </c>
      <c r="C18" s="3" t="inlineStr">
        <is>
          <t>P5</t>
        </is>
      </c>
      <c r="D18" s="10">
        <f>SUMPRODUCT('4. TF-IDF'!D$4:D$93, '4. TF-IDF'!L$4:L$93)</f>
        <v/>
      </c>
      <c r="E18" s="10">
        <f>SQRT(SUMSQ('4. TF-IDF'!D$4:D$93))</f>
        <v/>
      </c>
      <c r="F18" s="10">
        <f>SQRT(SUMSQ('4. TF-IDF'!L$4:L$93))</f>
        <v/>
      </c>
      <c r="G18" s="10">
        <f>IF(OR(E18=0, F18=0), 0, D18/(E18*F18))</f>
        <v/>
      </c>
      <c r="H18" s="11">
        <f>G18</f>
        <v/>
      </c>
    </row>
    <row r="19">
      <c r="A19" s="7" t="inlineStr">
        <is>
          <t>L2 - P6</t>
        </is>
      </c>
      <c r="B19" s="3" t="inlineStr">
        <is>
          <t>L2</t>
        </is>
      </c>
      <c r="C19" s="3" t="inlineStr">
        <is>
          <t>P6</t>
        </is>
      </c>
      <c r="D19" s="10">
        <f>SUMPRODUCT('4. TF-IDF'!D$4:D$93, '4. TF-IDF'!M$4:M$93)</f>
        <v/>
      </c>
      <c r="E19" s="10">
        <f>SQRT(SUMSQ('4. TF-IDF'!D$4:D$93))</f>
        <v/>
      </c>
      <c r="F19" s="10">
        <f>SQRT(SUMSQ('4. TF-IDF'!M$4:M$93))</f>
        <v/>
      </c>
      <c r="G19" s="10">
        <f>IF(OR(E19=0, F19=0), 0, D19/(E19*F19))</f>
        <v/>
      </c>
      <c r="H19" s="11">
        <f>G19</f>
        <v/>
      </c>
    </row>
    <row r="20">
      <c r="A20" s="7" t="inlineStr">
        <is>
          <t>L2 - P7</t>
        </is>
      </c>
      <c r="B20" s="3" t="inlineStr">
        <is>
          <t>L2</t>
        </is>
      </c>
      <c r="C20" s="3" t="inlineStr">
        <is>
          <t>P7</t>
        </is>
      </c>
      <c r="D20" s="10">
        <f>SUMPRODUCT('4. TF-IDF'!D$4:D$93, '4. TF-IDF'!N$4:N$93)</f>
        <v/>
      </c>
      <c r="E20" s="10">
        <f>SQRT(SUMSQ('4. TF-IDF'!D$4:D$93))</f>
        <v/>
      </c>
      <c r="F20" s="10">
        <f>SQRT(SUMSQ('4. TF-IDF'!N$4:N$93))</f>
        <v/>
      </c>
      <c r="G20" s="10">
        <f>IF(OR(E20=0, F20=0), 0, D20/(E20*F20))</f>
        <v/>
      </c>
      <c r="H20" s="11">
        <f>G20</f>
        <v/>
      </c>
    </row>
    <row r="21">
      <c r="A21" s="7" t="inlineStr">
        <is>
          <t>L2 - P8</t>
        </is>
      </c>
      <c r="B21" s="3" t="inlineStr">
        <is>
          <t>L2</t>
        </is>
      </c>
      <c r="C21" s="3" t="inlineStr">
        <is>
          <t>P8</t>
        </is>
      </c>
      <c r="D21" s="10">
        <f>SUMPRODUCT('4. TF-IDF'!D$4:D$93, '4. TF-IDF'!O$4:O$93)</f>
        <v/>
      </c>
      <c r="E21" s="10">
        <f>SQRT(SUMSQ('4. TF-IDF'!D$4:D$93))</f>
        <v/>
      </c>
      <c r="F21" s="10">
        <f>SQRT(SUMSQ('4. TF-IDF'!O$4:O$93))</f>
        <v/>
      </c>
      <c r="G21" s="10">
        <f>IF(OR(E21=0, F21=0), 0, D21/(E21*F21))</f>
        <v/>
      </c>
      <c r="H21" s="11">
        <f>G21</f>
        <v/>
      </c>
    </row>
    <row r="22">
      <c r="A22" s="7" t="inlineStr">
        <is>
          <t>L2 - P9</t>
        </is>
      </c>
      <c r="B22" s="3" t="inlineStr">
        <is>
          <t>L2</t>
        </is>
      </c>
      <c r="C22" s="3" t="inlineStr">
        <is>
          <t>P9</t>
        </is>
      </c>
      <c r="D22" s="10">
        <f>SUMPRODUCT('4. TF-IDF'!D$4:D$93, '4. TF-IDF'!P$4:P$93)</f>
        <v/>
      </c>
      <c r="E22" s="10">
        <f>SQRT(SUMSQ('4. TF-IDF'!D$4:D$93))</f>
        <v/>
      </c>
      <c r="F22" s="10">
        <f>SQRT(SUMSQ('4. TF-IDF'!P$4:P$93))</f>
        <v/>
      </c>
      <c r="G22" s="10">
        <f>IF(OR(E22=0, F22=0), 0, D22/(E22*F22))</f>
        <v/>
      </c>
      <c r="H22" s="11">
        <f>G22</f>
        <v/>
      </c>
    </row>
    <row r="23">
      <c r="A23" s="7" t="inlineStr">
        <is>
          <t>L2 - P10</t>
        </is>
      </c>
      <c r="B23" s="3" t="inlineStr">
        <is>
          <t>L2</t>
        </is>
      </c>
      <c r="C23" s="3" t="inlineStr">
        <is>
          <t>P10</t>
        </is>
      </c>
      <c r="D23" s="10">
        <f>SUMPRODUCT('4. TF-IDF'!D$4:D$93, '4. TF-IDF'!Q$4:Q$93)</f>
        <v/>
      </c>
      <c r="E23" s="10">
        <f>SQRT(SUMSQ('4. TF-IDF'!D$4:D$93))</f>
        <v/>
      </c>
      <c r="F23" s="10">
        <f>SQRT(SUMSQ('4. TF-IDF'!Q$4:Q$93))</f>
        <v/>
      </c>
      <c r="G23" s="10">
        <f>IF(OR(E23=0, F23=0), 0, D23/(E23*F23))</f>
        <v/>
      </c>
      <c r="H23" s="11">
        <f>G23</f>
        <v/>
      </c>
    </row>
    <row r="24">
      <c r="A24" s="7" t="inlineStr">
        <is>
          <t>L3 - P1</t>
        </is>
      </c>
      <c r="B24" s="3" t="inlineStr">
        <is>
          <t>L3</t>
        </is>
      </c>
      <c r="C24" s="3" t="inlineStr">
        <is>
          <t>P1</t>
        </is>
      </c>
      <c r="D24" s="10">
        <f>SUMPRODUCT('4. TF-IDF'!E$4:E$93, '4. TF-IDF'!H$4:H$93)</f>
        <v/>
      </c>
      <c r="E24" s="10">
        <f>SQRT(SUMSQ('4. TF-IDF'!E$4:E$93))</f>
        <v/>
      </c>
      <c r="F24" s="10">
        <f>SQRT(SUMSQ('4. TF-IDF'!H$4:H$93))</f>
        <v/>
      </c>
      <c r="G24" s="10">
        <f>IF(OR(E24=0, F24=0), 0, D24/(E24*F24))</f>
        <v/>
      </c>
      <c r="H24" s="11">
        <f>G24</f>
        <v/>
      </c>
    </row>
    <row r="25">
      <c r="A25" s="7" t="inlineStr">
        <is>
          <t>L3 - P2</t>
        </is>
      </c>
      <c r="B25" s="3" t="inlineStr">
        <is>
          <t>L3</t>
        </is>
      </c>
      <c r="C25" s="3" t="inlineStr">
        <is>
          <t>P2</t>
        </is>
      </c>
      <c r="D25" s="10">
        <f>SUMPRODUCT('4. TF-IDF'!E$4:E$93, '4. TF-IDF'!I$4:I$93)</f>
        <v/>
      </c>
      <c r="E25" s="10">
        <f>SQRT(SUMSQ('4. TF-IDF'!E$4:E$93))</f>
        <v/>
      </c>
      <c r="F25" s="10">
        <f>SQRT(SUMSQ('4. TF-IDF'!I$4:I$93))</f>
        <v/>
      </c>
      <c r="G25" s="10">
        <f>IF(OR(E25=0, F25=0), 0, D25/(E25*F25))</f>
        <v/>
      </c>
      <c r="H25" s="11">
        <f>G25</f>
        <v/>
      </c>
    </row>
    <row r="26">
      <c r="A26" s="7" t="inlineStr">
        <is>
          <t>L3 - P3</t>
        </is>
      </c>
      <c r="B26" s="3" t="inlineStr">
        <is>
          <t>L3</t>
        </is>
      </c>
      <c r="C26" s="3" t="inlineStr">
        <is>
          <t>P3</t>
        </is>
      </c>
      <c r="D26" s="10">
        <f>SUMPRODUCT('4. TF-IDF'!E$4:E$93, '4. TF-IDF'!J$4:J$93)</f>
        <v/>
      </c>
      <c r="E26" s="10">
        <f>SQRT(SUMSQ('4. TF-IDF'!E$4:E$93))</f>
        <v/>
      </c>
      <c r="F26" s="10">
        <f>SQRT(SUMSQ('4. TF-IDF'!J$4:J$93))</f>
        <v/>
      </c>
      <c r="G26" s="10">
        <f>IF(OR(E26=0, F26=0), 0, D26/(E26*F26))</f>
        <v/>
      </c>
      <c r="H26" s="11">
        <f>G26</f>
        <v/>
      </c>
    </row>
    <row r="27">
      <c r="A27" s="7" t="inlineStr">
        <is>
          <t>L3 - P4</t>
        </is>
      </c>
      <c r="B27" s="3" t="inlineStr">
        <is>
          <t>L3</t>
        </is>
      </c>
      <c r="C27" s="3" t="inlineStr">
        <is>
          <t>P4</t>
        </is>
      </c>
      <c r="D27" s="10">
        <f>SUMPRODUCT('4. TF-IDF'!E$4:E$93, '4. TF-IDF'!K$4:K$93)</f>
        <v/>
      </c>
      <c r="E27" s="10">
        <f>SQRT(SUMSQ('4. TF-IDF'!E$4:E$93))</f>
        <v/>
      </c>
      <c r="F27" s="10">
        <f>SQRT(SUMSQ('4. TF-IDF'!K$4:K$93))</f>
        <v/>
      </c>
      <c r="G27" s="10">
        <f>IF(OR(E27=0, F27=0), 0, D27/(E27*F27))</f>
        <v/>
      </c>
      <c r="H27" s="11">
        <f>G27</f>
        <v/>
      </c>
    </row>
    <row r="28">
      <c r="A28" s="7" t="inlineStr">
        <is>
          <t>L3 - P5</t>
        </is>
      </c>
      <c r="B28" s="3" t="inlineStr">
        <is>
          <t>L3</t>
        </is>
      </c>
      <c r="C28" s="3" t="inlineStr">
        <is>
          <t>P5</t>
        </is>
      </c>
      <c r="D28" s="10">
        <f>SUMPRODUCT('4. TF-IDF'!E$4:E$93, '4. TF-IDF'!L$4:L$93)</f>
        <v/>
      </c>
      <c r="E28" s="10">
        <f>SQRT(SUMSQ('4. TF-IDF'!E$4:E$93))</f>
        <v/>
      </c>
      <c r="F28" s="10">
        <f>SQRT(SUMSQ('4. TF-IDF'!L$4:L$93))</f>
        <v/>
      </c>
      <c r="G28" s="10">
        <f>IF(OR(E28=0, F28=0), 0, D28/(E28*F28))</f>
        <v/>
      </c>
      <c r="H28" s="11">
        <f>G28</f>
        <v/>
      </c>
    </row>
    <row r="29">
      <c r="A29" s="7" t="inlineStr">
        <is>
          <t>L3 - P6</t>
        </is>
      </c>
      <c r="B29" s="3" t="inlineStr">
        <is>
          <t>L3</t>
        </is>
      </c>
      <c r="C29" s="3" t="inlineStr">
        <is>
          <t>P6</t>
        </is>
      </c>
      <c r="D29" s="10">
        <f>SUMPRODUCT('4. TF-IDF'!E$4:E$93, '4. TF-IDF'!M$4:M$93)</f>
        <v/>
      </c>
      <c r="E29" s="10">
        <f>SQRT(SUMSQ('4. TF-IDF'!E$4:E$93))</f>
        <v/>
      </c>
      <c r="F29" s="10">
        <f>SQRT(SUMSQ('4. TF-IDF'!M$4:M$93))</f>
        <v/>
      </c>
      <c r="G29" s="10">
        <f>IF(OR(E29=0, F29=0), 0, D29/(E29*F29))</f>
        <v/>
      </c>
      <c r="H29" s="11">
        <f>G29</f>
        <v/>
      </c>
    </row>
    <row r="30">
      <c r="A30" s="7" t="inlineStr">
        <is>
          <t>L3 - P7</t>
        </is>
      </c>
      <c r="B30" s="3" t="inlineStr">
        <is>
          <t>L3</t>
        </is>
      </c>
      <c r="C30" s="3" t="inlineStr">
        <is>
          <t>P7</t>
        </is>
      </c>
      <c r="D30" s="10">
        <f>SUMPRODUCT('4. TF-IDF'!E$4:E$93, '4. TF-IDF'!N$4:N$93)</f>
        <v/>
      </c>
      <c r="E30" s="10">
        <f>SQRT(SUMSQ('4. TF-IDF'!E$4:E$93))</f>
        <v/>
      </c>
      <c r="F30" s="10">
        <f>SQRT(SUMSQ('4. TF-IDF'!N$4:N$93))</f>
        <v/>
      </c>
      <c r="G30" s="10">
        <f>IF(OR(E30=0, F30=0), 0, D30/(E30*F30))</f>
        <v/>
      </c>
      <c r="H30" s="11">
        <f>G30</f>
        <v/>
      </c>
    </row>
    <row r="31">
      <c r="A31" s="7" t="inlineStr">
        <is>
          <t>L3 - P8</t>
        </is>
      </c>
      <c r="B31" s="3" t="inlineStr">
        <is>
          <t>L3</t>
        </is>
      </c>
      <c r="C31" s="3" t="inlineStr">
        <is>
          <t>P8</t>
        </is>
      </c>
      <c r="D31" s="10">
        <f>SUMPRODUCT('4. TF-IDF'!E$4:E$93, '4. TF-IDF'!O$4:O$93)</f>
        <v/>
      </c>
      <c r="E31" s="10">
        <f>SQRT(SUMSQ('4. TF-IDF'!E$4:E$93))</f>
        <v/>
      </c>
      <c r="F31" s="10">
        <f>SQRT(SUMSQ('4. TF-IDF'!O$4:O$93))</f>
        <v/>
      </c>
      <c r="G31" s="10">
        <f>IF(OR(E31=0, F31=0), 0, D31/(E31*F31))</f>
        <v/>
      </c>
      <c r="H31" s="11">
        <f>G31</f>
        <v/>
      </c>
    </row>
    <row r="32">
      <c r="A32" s="7" t="inlineStr">
        <is>
          <t>L3 - P9</t>
        </is>
      </c>
      <c r="B32" s="3" t="inlineStr">
        <is>
          <t>L3</t>
        </is>
      </c>
      <c r="C32" s="3" t="inlineStr">
        <is>
          <t>P9</t>
        </is>
      </c>
      <c r="D32" s="10">
        <f>SUMPRODUCT('4. TF-IDF'!E$4:E$93, '4. TF-IDF'!P$4:P$93)</f>
        <v/>
      </c>
      <c r="E32" s="10">
        <f>SQRT(SUMSQ('4. TF-IDF'!E$4:E$93))</f>
        <v/>
      </c>
      <c r="F32" s="10">
        <f>SQRT(SUMSQ('4. TF-IDF'!P$4:P$93))</f>
        <v/>
      </c>
      <c r="G32" s="10">
        <f>IF(OR(E32=0, F32=0), 0, D32/(E32*F32))</f>
        <v/>
      </c>
      <c r="H32" s="11">
        <f>G32</f>
        <v/>
      </c>
    </row>
    <row r="33">
      <c r="A33" s="7" t="inlineStr">
        <is>
          <t>L3 - P10</t>
        </is>
      </c>
      <c r="B33" s="3" t="inlineStr">
        <is>
          <t>L3</t>
        </is>
      </c>
      <c r="C33" s="3" t="inlineStr">
        <is>
          <t>P10</t>
        </is>
      </c>
      <c r="D33" s="10">
        <f>SUMPRODUCT('4. TF-IDF'!E$4:E$93, '4. TF-IDF'!Q$4:Q$93)</f>
        <v/>
      </c>
      <c r="E33" s="10">
        <f>SQRT(SUMSQ('4. TF-IDF'!E$4:E$93))</f>
        <v/>
      </c>
      <c r="F33" s="10">
        <f>SQRT(SUMSQ('4. TF-IDF'!Q$4:Q$93))</f>
        <v/>
      </c>
      <c r="G33" s="10">
        <f>IF(OR(E33=0, F33=0), 0, D33/(E33*F33))</f>
        <v/>
      </c>
      <c r="H33" s="11">
        <f>G33</f>
        <v/>
      </c>
    </row>
    <row r="34">
      <c r="A34" s="7" t="inlineStr">
        <is>
          <t>L4 - P1</t>
        </is>
      </c>
      <c r="B34" s="3" t="inlineStr">
        <is>
          <t>L4</t>
        </is>
      </c>
      <c r="C34" s="3" t="inlineStr">
        <is>
          <t>P1</t>
        </is>
      </c>
      <c r="D34" s="10">
        <f>SUMPRODUCT('4. TF-IDF'!F$4:F$93, '4. TF-IDF'!H$4:H$93)</f>
        <v/>
      </c>
      <c r="E34" s="10">
        <f>SQRT(SUMSQ('4. TF-IDF'!F$4:F$93))</f>
        <v/>
      </c>
      <c r="F34" s="10">
        <f>SQRT(SUMSQ('4. TF-IDF'!H$4:H$93))</f>
        <v/>
      </c>
      <c r="G34" s="10">
        <f>IF(OR(E34=0, F34=0), 0, D34/(E34*F34))</f>
        <v/>
      </c>
      <c r="H34" s="11">
        <f>G34</f>
        <v/>
      </c>
    </row>
    <row r="35">
      <c r="A35" s="7" t="inlineStr">
        <is>
          <t>L4 - P2</t>
        </is>
      </c>
      <c r="B35" s="3" t="inlineStr">
        <is>
          <t>L4</t>
        </is>
      </c>
      <c r="C35" s="3" t="inlineStr">
        <is>
          <t>P2</t>
        </is>
      </c>
      <c r="D35" s="10">
        <f>SUMPRODUCT('4. TF-IDF'!F$4:F$93, '4. TF-IDF'!I$4:I$93)</f>
        <v/>
      </c>
      <c r="E35" s="10">
        <f>SQRT(SUMSQ('4. TF-IDF'!F$4:F$93))</f>
        <v/>
      </c>
      <c r="F35" s="10">
        <f>SQRT(SUMSQ('4. TF-IDF'!I$4:I$93))</f>
        <v/>
      </c>
      <c r="G35" s="10">
        <f>IF(OR(E35=0, F35=0), 0, D35/(E35*F35))</f>
        <v/>
      </c>
      <c r="H35" s="11">
        <f>G35</f>
        <v/>
      </c>
    </row>
    <row r="36">
      <c r="A36" s="7" t="inlineStr">
        <is>
          <t>L4 - P3</t>
        </is>
      </c>
      <c r="B36" s="3" t="inlineStr">
        <is>
          <t>L4</t>
        </is>
      </c>
      <c r="C36" s="3" t="inlineStr">
        <is>
          <t>P3</t>
        </is>
      </c>
      <c r="D36" s="10">
        <f>SUMPRODUCT('4. TF-IDF'!F$4:F$93, '4. TF-IDF'!J$4:J$93)</f>
        <v/>
      </c>
      <c r="E36" s="10">
        <f>SQRT(SUMSQ('4. TF-IDF'!F$4:F$93))</f>
        <v/>
      </c>
      <c r="F36" s="10">
        <f>SQRT(SUMSQ('4. TF-IDF'!J$4:J$93))</f>
        <v/>
      </c>
      <c r="G36" s="10">
        <f>IF(OR(E36=0, F36=0), 0, D36/(E36*F36))</f>
        <v/>
      </c>
      <c r="H36" s="11">
        <f>G36</f>
        <v/>
      </c>
    </row>
    <row r="37">
      <c r="A37" s="7" t="inlineStr">
        <is>
          <t>L4 - P4</t>
        </is>
      </c>
      <c r="B37" s="3" t="inlineStr">
        <is>
          <t>L4</t>
        </is>
      </c>
      <c r="C37" s="3" t="inlineStr">
        <is>
          <t>P4</t>
        </is>
      </c>
      <c r="D37" s="10">
        <f>SUMPRODUCT('4. TF-IDF'!F$4:F$93, '4. TF-IDF'!K$4:K$93)</f>
        <v/>
      </c>
      <c r="E37" s="10">
        <f>SQRT(SUMSQ('4. TF-IDF'!F$4:F$93))</f>
        <v/>
      </c>
      <c r="F37" s="10">
        <f>SQRT(SUMSQ('4. TF-IDF'!K$4:K$93))</f>
        <v/>
      </c>
      <c r="G37" s="10">
        <f>IF(OR(E37=0, F37=0), 0, D37/(E37*F37))</f>
        <v/>
      </c>
      <c r="H37" s="11">
        <f>G37</f>
        <v/>
      </c>
    </row>
    <row r="38">
      <c r="A38" s="7" t="inlineStr">
        <is>
          <t>L4 - P5</t>
        </is>
      </c>
      <c r="B38" s="3" t="inlineStr">
        <is>
          <t>L4</t>
        </is>
      </c>
      <c r="C38" s="3" t="inlineStr">
        <is>
          <t>P5</t>
        </is>
      </c>
      <c r="D38" s="10">
        <f>SUMPRODUCT('4. TF-IDF'!F$4:F$93, '4. TF-IDF'!L$4:L$93)</f>
        <v/>
      </c>
      <c r="E38" s="10">
        <f>SQRT(SUMSQ('4. TF-IDF'!F$4:F$93))</f>
        <v/>
      </c>
      <c r="F38" s="10">
        <f>SQRT(SUMSQ('4. TF-IDF'!L$4:L$93))</f>
        <v/>
      </c>
      <c r="G38" s="10">
        <f>IF(OR(E38=0, F38=0), 0, D38/(E38*F38))</f>
        <v/>
      </c>
      <c r="H38" s="11">
        <f>G38</f>
        <v/>
      </c>
    </row>
    <row r="39">
      <c r="A39" s="7" t="inlineStr">
        <is>
          <t>L4 - P6</t>
        </is>
      </c>
      <c r="B39" s="3" t="inlineStr">
        <is>
          <t>L4</t>
        </is>
      </c>
      <c r="C39" s="3" t="inlineStr">
        <is>
          <t>P6</t>
        </is>
      </c>
      <c r="D39" s="10">
        <f>SUMPRODUCT('4. TF-IDF'!F$4:F$93, '4. TF-IDF'!M$4:M$93)</f>
        <v/>
      </c>
      <c r="E39" s="10">
        <f>SQRT(SUMSQ('4. TF-IDF'!F$4:F$93))</f>
        <v/>
      </c>
      <c r="F39" s="10">
        <f>SQRT(SUMSQ('4. TF-IDF'!M$4:M$93))</f>
        <v/>
      </c>
      <c r="G39" s="10">
        <f>IF(OR(E39=0, F39=0), 0, D39/(E39*F39))</f>
        <v/>
      </c>
      <c r="H39" s="11">
        <f>G39</f>
        <v/>
      </c>
    </row>
    <row r="40">
      <c r="A40" s="7" t="inlineStr">
        <is>
          <t>L4 - P7</t>
        </is>
      </c>
      <c r="B40" s="3" t="inlineStr">
        <is>
          <t>L4</t>
        </is>
      </c>
      <c r="C40" s="3" t="inlineStr">
        <is>
          <t>P7</t>
        </is>
      </c>
      <c r="D40" s="10">
        <f>SUMPRODUCT('4. TF-IDF'!F$4:F$93, '4. TF-IDF'!N$4:N$93)</f>
        <v/>
      </c>
      <c r="E40" s="10">
        <f>SQRT(SUMSQ('4. TF-IDF'!F$4:F$93))</f>
        <v/>
      </c>
      <c r="F40" s="10">
        <f>SQRT(SUMSQ('4. TF-IDF'!N$4:N$93))</f>
        <v/>
      </c>
      <c r="G40" s="10">
        <f>IF(OR(E40=0, F40=0), 0, D40/(E40*F40))</f>
        <v/>
      </c>
      <c r="H40" s="11">
        <f>G40</f>
        <v/>
      </c>
    </row>
    <row r="41">
      <c r="A41" s="7" t="inlineStr">
        <is>
          <t>L4 - P8</t>
        </is>
      </c>
      <c r="B41" s="3" t="inlineStr">
        <is>
          <t>L4</t>
        </is>
      </c>
      <c r="C41" s="3" t="inlineStr">
        <is>
          <t>P8</t>
        </is>
      </c>
      <c r="D41" s="10">
        <f>SUMPRODUCT('4. TF-IDF'!F$4:F$93, '4. TF-IDF'!O$4:O$93)</f>
        <v/>
      </c>
      <c r="E41" s="10">
        <f>SQRT(SUMSQ('4. TF-IDF'!F$4:F$93))</f>
        <v/>
      </c>
      <c r="F41" s="10">
        <f>SQRT(SUMSQ('4. TF-IDF'!O$4:O$93))</f>
        <v/>
      </c>
      <c r="G41" s="10">
        <f>IF(OR(E41=0, F41=0), 0, D41/(E41*F41))</f>
        <v/>
      </c>
      <c r="H41" s="11">
        <f>G41</f>
        <v/>
      </c>
    </row>
    <row r="42">
      <c r="A42" s="7" t="inlineStr">
        <is>
          <t>L4 - P9</t>
        </is>
      </c>
      <c r="B42" s="3" t="inlineStr">
        <is>
          <t>L4</t>
        </is>
      </c>
      <c r="C42" s="3" t="inlineStr">
        <is>
          <t>P9</t>
        </is>
      </c>
      <c r="D42" s="10">
        <f>SUMPRODUCT('4. TF-IDF'!F$4:F$93, '4. TF-IDF'!P$4:P$93)</f>
        <v/>
      </c>
      <c r="E42" s="10">
        <f>SQRT(SUMSQ('4. TF-IDF'!F$4:F$93))</f>
        <v/>
      </c>
      <c r="F42" s="10">
        <f>SQRT(SUMSQ('4. TF-IDF'!P$4:P$93))</f>
        <v/>
      </c>
      <c r="G42" s="10">
        <f>IF(OR(E42=0, F42=0), 0, D42/(E42*F42))</f>
        <v/>
      </c>
      <c r="H42" s="11">
        <f>G42</f>
        <v/>
      </c>
    </row>
    <row r="43">
      <c r="A43" s="7" t="inlineStr">
        <is>
          <t>L4 - P10</t>
        </is>
      </c>
      <c r="B43" s="3" t="inlineStr">
        <is>
          <t>L4</t>
        </is>
      </c>
      <c r="C43" s="3" t="inlineStr">
        <is>
          <t>P10</t>
        </is>
      </c>
      <c r="D43" s="10">
        <f>SUMPRODUCT('4. TF-IDF'!F$4:F$93, '4. TF-IDF'!Q$4:Q$93)</f>
        <v/>
      </c>
      <c r="E43" s="10">
        <f>SQRT(SUMSQ('4. TF-IDF'!F$4:F$93))</f>
        <v/>
      </c>
      <c r="F43" s="10">
        <f>SQRT(SUMSQ('4. TF-IDF'!Q$4:Q$93))</f>
        <v/>
      </c>
      <c r="G43" s="10">
        <f>IF(OR(E43=0, F43=0), 0, D43/(E43*F43))</f>
        <v/>
      </c>
      <c r="H43" s="11">
        <f>G43</f>
        <v/>
      </c>
    </row>
    <row r="44">
      <c r="A44" s="7" t="inlineStr">
        <is>
          <t>L5 - P1</t>
        </is>
      </c>
      <c r="B44" s="3" t="inlineStr">
        <is>
          <t>L5</t>
        </is>
      </c>
      <c r="C44" s="3" t="inlineStr">
        <is>
          <t>P1</t>
        </is>
      </c>
      <c r="D44" s="10">
        <f>SUMPRODUCT('4. TF-IDF'!G$4:G$93, '4. TF-IDF'!H$4:H$93)</f>
        <v/>
      </c>
      <c r="E44" s="10">
        <f>SQRT(SUMSQ('4. TF-IDF'!G$4:G$93))</f>
        <v/>
      </c>
      <c r="F44" s="10">
        <f>SQRT(SUMSQ('4. TF-IDF'!H$4:H$93))</f>
        <v/>
      </c>
      <c r="G44" s="10">
        <f>IF(OR(E44=0, F44=0), 0, D44/(E44*F44))</f>
        <v/>
      </c>
      <c r="H44" s="11">
        <f>G44</f>
        <v/>
      </c>
    </row>
    <row r="45">
      <c r="A45" s="7" t="inlineStr">
        <is>
          <t>L5 - P2</t>
        </is>
      </c>
      <c r="B45" s="3" t="inlineStr">
        <is>
          <t>L5</t>
        </is>
      </c>
      <c r="C45" s="3" t="inlineStr">
        <is>
          <t>P2</t>
        </is>
      </c>
      <c r="D45" s="10">
        <f>SUMPRODUCT('4. TF-IDF'!G$4:G$93, '4. TF-IDF'!I$4:I$93)</f>
        <v/>
      </c>
      <c r="E45" s="10">
        <f>SQRT(SUMSQ('4. TF-IDF'!G$4:G$93))</f>
        <v/>
      </c>
      <c r="F45" s="10">
        <f>SQRT(SUMSQ('4. TF-IDF'!I$4:I$93))</f>
        <v/>
      </c>
      <c r="G45" s="10">
        <f>IF(OR(E45=0, F45=0), 0, D45/(E45*F45))</f>
        <v/>
      </c>
      <c r="H45" s="11">
        <f>G45</f>
        <v/>
      </c>
    </row>
    <row r="46">
      <c r="A46" s="7" t="inlineStr">
        <is>
          <t>L5 - P3</t>
        </is>
      </c>
      <c r="B46" s="3" t="inlineStr">
        <is>
          <t>L5</t>
        </is>
      </c>
      <c r="C46" s="3" t="inlineStr">
        <is>
          <t>P3</t>
        </is>
      </c>
      <c r="D46" s="10">
        <f>SUMPRODUCT('4. TF-IDF'!G$4:G$93, '4. TF-IDF'!J$4:J$93)</f>
        <v/>
      </c>
      <c r="E46" s="10">
        <f>SQRT(SUMSQ('4. TF-IDF'!G$4:G$93))</f>
        <v/>
      </c>
      <c r="F46" s="10">
        <f>SQRT(SUMSQ('4. TF-IDF'!J$4:J$93))</f>
        <v/>
      </c>
      <c r="G46" s="10">
        <f>IF(OR(E46=0, F46=0), 0, D46/(E46*F46))</f>
        <v/>
      </c>
      <c r="H46" s="11">
        <f>G46</f>
        <v/>
      </c>
    </row>
    <row r="47">
      <c r="A47" s="7" t="inlineStr">
        <is>
          <t>L5 - P4</t>
        </is>
      </c>
      <c r="B47" s="3" t="inlineStr">
        <is>
          <t>L5</t>
        </is>
      </c>
      <c r="C47" s="3" t="inlineStr">
        <is>
          <t>P4</t>
        </is>
      </c>
      <c r="D47" s="10">
        <f>SUMPRODUCT('4. TF-IDF'!G$4:G$93, '4. TF-IDF'!K$4:K$93)</f>
        <v/>
      </c>
      <c r="E47" s="10">
        <f>SQRT(SUMSQ('4. TF-IDF'!G$4:G$93))</f>
        <v/>
      </c>
      <c r="F47" s="10">
        <f>SQRT(SUMSQ('4. TF-IDF'!K$4:K$93))</f>
        <v/>
      </c>
      <c r="G47" s="10">
        <f>IF(OR(E47=0, F47=0), 0, D47/(E47*F47))</f>
        <v/>
      </c>
      <c r="H47" s="11">
        <f>G47</f>
        <v/>
      </c>
    </row>
    <row r="48">
      <c r="A48" s="7" t="inlineStr">
        <is>
          <t>L5 - P5</t>
        </is>
      </c>
      <c r="B48" s="3" t="inlineStr">
        <is>
          <t>L5</t>
        </is>
      </c>
      <c r="C48" s="3" t="inlineStr">
        <is>
          <t>P5</t>
        </is>
      </c>
      <c r="D48" s="10">
        <f>SUMPRODUCT('4. TF-IDF'!G$4:G$93, '4. TF-IDF'!L$4:L$93)</f>
        <v/>
      </c>
      <c r="E48" s="10">
        <f>SQRT(SUMSQ('4. TF-IDF'!G$4:G$93))</f>
        <v/>
      </c>
      <c r="F48" s="10">
        <f>SQRT(SUMSQ('4. TF-IDF'!L$4:L$93))</f>
        <v/>
      </c>
      <c r="G48" s="10">
        <f>IF(OR(E48=0, F48=0), 0, D48/(E48*F48))</f>
        <v/>
      </c>
      <c r="H48" s="11">
        <f>G48</f>
        <v/>
      </c>
    </row>
    <row r="49">
      <c r="A49" s="7" t="inlineStr">
        <is>
          <t>L5 - P6</t>
        </is>
      </c>
      <c r="B49" s="3" t="inlineStr">
        <is>
          <t>L5</t>
        </is>
      </c>
      <c r="C49" s="3" t="inlineStr">
        <is>
          <t>P6</t>
        </is>
      </c>
      <c r="D49" s="10">
        <f>SUMPRODUCT('4. TF-IDF'!G$4:G$93, '4. TF-IDF'!M$4:M$93)</f>
        <v/>
      </c>
      <c r="E49" s="10">
        <f>SQRT(SUMSQ('4. TF-IDF'!G$4:G$93))</f>
        <v/>
      </c>
      <c r="F49" s="10">
        <f>SQRT(SUMSQ('4. TF-IDF'!M$4:M$93))</f>
        <v/>
      </c>
      <c r="G49" s="10">
        <f>IF(OR(E49=0, F49=0), 0, D49/(E49*F49))</f>
        <v/>
      </c>
      <c r="H49" s="11">
        <f>G49</f>
        <v/>
      </c>
    </row>
    <row r="50">
      <c r="A50" s="7" t="inlineStr">
        <is>
          <t>L5 - P7</t>
        </is>
      </c>
      <c r="B50" s="3" t="inlineStr">
        <is>
          <t>L5</t>
        </is>
      </c>
      <c r="C50" s="3" t="inlineStr">
        <is>
          <t>P7</t>
        </is>
      </c>
      <c r="D50" s="10">
        <f>SUMPRODUCT('4. TF-IDF'!G$4:G$93, '4. TF-IDF'!N$4:N$93)</f>
        <v/>
      </c>
      <c r="E50" s="10">
        <f>SQRT(SUMSQ('4. TF-IDF'!G$4:G$93))</f>
        <v/>
      </c>
      <c r="F50" s="10">
        <f>SQRT(SUMSQ('4. TF-IDF'!N$4:N$93))</f>
        <v/>
      </c>
      <c r="G50" s="10">
        <f>IF(OR(E50=0, F50=0), 0, D50/(E50*F50))</f>
        <v/>
      </c>
      <c r="H50" s="11">
        <f>G50</f>
        <v/>
      </c>
    </row>
    <row r="51">
      <c r="A51" s="7" t="inlineStr">
        <is>
          <t>L5 - P8</t>
        </is>
      </c>
      <c r="B51" s="3" t="inlineStr">
        <is>
          <t>L5</t>
        </is>
      </c>
      <c r="C51" s="3" t="inlineStr">
        <is>
          <t>P8</t>
        </is>
      </c>
      <c r="D51" s="10">
        <f>SUMPRODUCT('4. TF-IDF'!G$4:G$93, '4. TF-IDF'!O$4:O$93)</f>
        <v/>
      </c>
      <c r="E51" s="10">
        <f>SQRT(SUMSQ('4. TF-IDF'!G$4:G$93))</f>
        <v/>
      </c>
      <c r="F51" s="10">
        <f>SQRT(SUMSQ('4. TF-IDF'!O$4:O$93))</f>
        <v/>
      </c>
      <c r="G51" s="10">
        <f>IF(OR(E51=0, F51=0), 0, D51/(E51*F51))</f>
        <v/>
      </c>
      <c r="H51" s="11">
        <f>G51</f>
        <v/>
      </c>
    </row>
    <row r="52">
      <c r="A52" s="7" t="inlineStr">
        <is>
          <t>L5 - P9</t>
        </is>
      </c>
      <c r="B52" s="3" t="inlineStr">
        <is>
          <t>L5</t>
        </is>
      </c>
      <c r="C52" s="3" t="inlineStr">
        <is>
          <t>P9</t>
        </is>
      </c>
      <c r="D52" s="10">
        <f>SUMPRODUCT('4. TF-IDF'!G$4:G$93, '4. TF-IDF'!P$4:P$93)</f>
        <v/>
      </c>
      <c r="E52" s="10">
        <f>SQRT(SUMSQ('4. TF-IDF'!G$4:G$93))</f>
        <v/>
      </c>
      <c r="F52" s="10">
        <f>SQRT(SUMSQ('4. TF-IDF'!P$4:P$93))</f>
        <v/>
      </c>
      <c r="G52" s="10">
        <f>IF(OR(E52=0, F52=0), 0, D52/(E52*F52))</f>
        <v/>
      </c>
      <c r="H52" s="11">
        <f>G52</f>
        <v/>
      </c>
    </row>
    <row r="53">
      <c r="A53" s="7" t="inlineStr">
        <is>
          <t>L5 - P10</t>
        </is>
      </c>
      <c r="B53" s="3" t="inlineStr">
        <is>
          <t>L5</t>
        </is>
      </c>
      <c r="C53" s="3" t="inlineStr">
        <is>
          <t>P10</t>
        </is>
      </c>
      <c r="D53" s="10">
        <f>SUMPRODUCT('4. TF-IDF'!G$4:G$93, '4. TF-IDF'!Q$4:Q$93)</f>
        <v/>
      </c>
      <c r="E53" s="10">
        <f>SQRT(SUMSQ('4. TF-IDF'!G$4:G$93))</f>
        <v/>
      </c>
      <c r="F53" s="10">
        <f>SQRT(SUMSQ('4. TF-IDF'!Q$4:Q$93))</f>
        <v/>
      </c>
      <c r="G53" s="10">
        <f>IF(OR(E53=0, F53=0), 0, D53/(E53*F53))</f>
        <v/>
      </c>
      <c r="H53" s="11">
        <f>G53</f>
        <v/>
      </c>
    </row>
    <row r="56">
      <c r="A56" s="1" t="inlineStr">
        <is>
          <t>MATRIKS KESIMPULAN AKHIR</t>
        </is>
      </c>
    </row>
    <row r="58">
      <c r="A58" s="2" t="inlineStr">
        <is>
          <t>Profil / Lowongan</t>
        </is>
      </c>
      <c r="B58" s="2" t="inlineStr">
        <is>
          <t>L1</t>
        </is>
      </c>
      <c r="C58" s="2" t="inlineStr">
        <is>
          <t>L2</t>
        </is>
      </c>
      <c r="D58" s="2" t="inlineStr">
        <is>
          <t>L3</t>
        </is>
      </c>
      <c r="E58" s="2" t="inlineStr">
        <is>
          <t>L4</t>
        </is>
      </c>
      <c r="F58" s="2" t="inlineStr">
        <is>
          <t>L5</t>
        </is>
      </c>
    </row>
    <row r="59">
      <c r="A59" s="8" t="inlineStr">
        <is>
          <t>P1</t>
        </is>
      </c>
      <c r="B59" s="12">
        <f>H4</f>
        <v/>
      </c>
      <c r="C59" s="12">
        <f>H14</f>
        <v/>
      </c>
      <c r="D59" s="12">
        <f>H24</f>
        <v/>
      </c>
      <c r="E59" s="12">
        <f>H34</f>
        <v/>
      </c>
      <c r="F59" s="12">
        <f>H44</f>
        <v/>
      </c>
    </row>
    <row r="60">
      <c r="A60" s="8" t="inlineStr">
        <is>
          <t>P2</t>
        </is>
      </c>
      <c r="B60" s="12">
        <f>H5</f>
        <v/>
      </c>
      <c r="C60" s="12">
        <f>H15</f>
        <v/>
      </c>
      <c r="D60" s="12">
        <f>H25</f>
        <v/>
      </c>
      <c r="E60" s="12">
        <f>H35</f>
        <v/>
      </c>
      <c r="F60" s="12">
        <f>H45</f>
        <v/>
      </c>
    </row>
    <row r="61">
      <c r="A61" s="8" t="inlineStr">
        <is>
          <t>P3</t>
        </is>
      </c>
      <c r="B61" s="12">
        <f>H6</f>
        <v/>
      </c>
      <c r="C61" s="12">
        <f>H16</f>
        <v/>
      </c>
      <c r="D61" s="12">
        <f>H26</f>
        <v/>
      </c>
      <c r="E61" s="12">
        <f>H36</f>
        <v/>
      </c>
      <c r="F61" s="12">
        <f>H46</f>
        <v/>
      </c>
    </row>
    <row r="62">
      <c r="A62" s="8" t="inlineStr">
        <is>
          <t>P4</t>
        </is>
      </c>
      <c r="B62" s="12">
        <f>H7</f>
        <v/>
      </c>
      <c r="C62" s="12">
        <f>H17</f>
        <v/>
      </c>
      <c r="D62" s="12">
        <f>H27</f>
        <v/>
      </c>
      <c r="E62" s="12">
        <f>H37</f>
        <v/>
      </c>
      <c r="F62" s="12">
        <f>H47</f>
        <v/>
      </c>
    </row>
    <row r="63">
      <c r="A63" s="8" t="inlineStr">
        <is>
          <t>P5</t>
        </is>
      </c>
      <c r="B63" s="12">
        <f>H8</f>
        <v/>
      </c>
      <c r="C63" s="12">
        <f>H18</f>
        <v/>
      </c>
      <c r="D63" s="12">
        <f>H28</f>
        <v/>
      </c>
      <c r="E63" s="12">
        <f>H38</f>
        <v/>
      </c>
      <c r="F63" s="12">
        <f>H48</f>
        <v/>
      </c>
    </row>
    <row r="64">
      <c r="A64" s="8" t="inlineStr">
        <is>
          <t>P6</t>
        </is>
      </c>
      <c r="B64" s="12">
        <f>H9</f>
        <v/>
      </c>
      <c r="C64" s="12">
        <f>H19</f>
        <v/>
      </c>
      <c r="D64" s="12">
        <f>H29</f>
        <v/>
      </c>
      <c r="E64" s="12">
        <f>H39</f>
        <v/>
      </c>
      <c r="F64" s="12">
        <f>H49</f>
        <v/>
      </c>
    </row>
    <row r="65">
      <c r="A65" s="8" t="inlineStr">
        <is>
          <t>P7</t>
        </is>
      </c>
      <c r="B65" s="12">
        <f>H10</f>
        <v/>
      </c>
      <c r="C65" s="12">
        <f>H20</f>
        <v/>
      </c>
      <c r="D65" s="12">
        <f>H30</f>
        <v/>
      </c>
      <c r="E65" s="12">
        <f>H40</f>
        <v/>
      </c>
      <c r="F65" s="12">
        <f>H50</f>
        <v/>
      </c>
    </row>
    <row r="66">
      <c r="A66" s="8" t="inlineStr">
        <is>
          <t>P8</t>
        </is>
      </c>
      <c r="B66" s="12">
        <f>H11</f>
        <v/>
      </c>
      <c r="C66" s="12">
        <f>H21</f>
        <v/>
      </c>
      <c r="D66" s="12">
        <f>H31</f>
        <v/>
      </c>
      <c r="E66" s="12">
        <f>H41</f>
        <v/>
      </c>
      <c r="F66" s="12">
        <f>H51</f>
        <v/>
      </c>
    </row>
    <row r="67">
      <c r="A67" s="8" t="inlineStr">
        <is>
          <t>P9</t>
        </is>
      </c>
      <c r="B67" s="12">
        <f>H12</f>
        <v/>
      </c>
      <c r="C67" s="12">
        <f>H22</f>
        <v/>
      </c>
      <c r="D67" s="12">
        <f>H32</f>
        <v/>
      </c>
      <c r="E67" s="12">
        <f>H42</f>
        <v/>
      </c>
      <c r="F67" s="12">
        <f>H52</f>
        <v/>
      </c>
    </row>
    <row r="68">
      <c r="A68" s="8" t="inlineStr">
        <is>
          <t>P10</t>
        </is>
      </c>
      <c r="B68" s="12">
        <f>H13</f>
        <v/>
      </c>
      <c r="C68" s="12">
        <f>H23</f>
        <v/>
      </c>
      <c r="D68" s="12">
        <f>H33</f>
        <v/>
      </c>
      <c r="E68" s="12">
        <f>H43</f>
        <v/>
      </c>
      <c r="F68" s="12">
        <f>H53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2026-07-08T07:17:24Z</dcterms:created>
  <dcterms:modified xmlns:dcterms="http://purl.org/dc/terms/" xmlns:xsi="http://www.w3.org/2001/XMLSchema-instance" xsi:type="dcterms:W3CDTF">2026-07-08T07:17:24Z</dcterms:modified>
</cp:coreProperties>
</file>